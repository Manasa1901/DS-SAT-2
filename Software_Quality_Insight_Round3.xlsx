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write\OneDrive\Desktop\"/>
    </mc:Choice>
  </mc:AlternateContent>
  <xr:revisionPtr revIDLastSave="0" documentId="13_ncr:9_{008BFD54-24A8-4602-AEAF-7B4D1D99AE3A}" xr6:coauthVersionLast="47" xr6:coauthVersionMax="47" xr10:uidLastSave="{00000000-0000-0000-0000-000000000000}"/>
  <bookViews>
    <workbookView xWindow="-108" yWindow="-108" windowWidth="23256" windowHeight="12456" activeTab="3" xr2:uid="{B0D0375D-2BBF-4CA3-8F57-5C82A309736F}"/>
  </bookViews>
  <sheets>
    <sheet name="Cleaned_Dataset" sheetId="1" r:id="rId1"/>
    <sheet name="Analysis" sheetId="2" r:id="rId2"/>
    <sheet name="Pivot _Tables" sheetId="3" r:id="rId3"/>
    <sheet name="Charts" sheetId="4" r:id="rId4"/>
    <sheet name="Summary" sheetId="5" r:id="rId5"/>
  </sheets>
  <calcPr calcId="0"/>
  <pivotCaches>
    <pivotCache cacheId="8" r:id="rId6"/>
  </pivotCaches>
</workbook>
</file>

<file path=xl/calcChain.xml><?xml version="1.0" encoding="utf-8"?>
<calcChain xmlns="http://schemas.openxmlformats.org/spreadsheetml/2006/main">
  <c r="B5" i="2" l="1"/>
  <c r="B4" i="2"/>
  <c r="B3" i="2"/>
  <c r="B2" i="2"/>
</calcChain>
</file>

<file path=xl/sharedStrings.xml><?xml version="1.0" encoding="utf-8"?>
<sst xmlns="http://schemas.openxmlformats.org/spreadsheetml/2006/main" count="2241" uniqueCount="131">
  <si>
    <t>release_date</t>
  </si>
  <si>
    <t>version</t>
  </si>
  <si>
    <t>module</t>
  </si>
  <si>
    <t>component</t>
  </si>
  <si>
    <t>language</t>
  </si>
  <si>
    <t>size</t>
  </si>
  <si>
    <t>complexity</t>
  </si>
  <si>
    <t>coupling</t>
  </si>
  <si>
    <t>churn</t>
  </si>
  <si>
    <t>test_coverage</t>
  </si>
  <si>
    <t>complexity_outlier_flag</t>
  </si>
  <si>
    <t>defect_count</t>
  </si>
  <si>
    <t>severity</t>
  </si>
  <si>
    <t>commit_count</t>
  </si>
  <si>
    <t>contributors</t>
  </si>
  <si>
    <t>changed_lines</t>
  </si>
  <si>
    <t>defect_record_missing</t>
  </si>
  <si>
    <t>defects_per_1000_lines</t>
  </si>
  <si>
    <t>churn_per_kloc</t>
  </si>
  <si>
    <t>complexity_band</t>
  </si>
  <si>
    <t>low_coverage_flag</t>
  </si>
  <si>
    <t>release_month</t>
  </si>
  <si>
    <t>release_quarter</t>
  </si>
  <si>
    <t>v1.0</t>
  </si>
  <si>
    <t>MOD-001</t>
  </si>
  <si>
    <t>Authentication</t>
  </si>
  <si>
    <t>Python</t>
  </si>
  <si>
    <t>Low</t>
  </si>
  <si>
    <t>Medium</t>
  </si>
  <si>
    <t>MOD-002</t>
  </si>
  <si>
    <t>Payments</t>
  </si>
  <si>
    <t>C#</t>
  </si>
  <si>
    <t>MOD-003</t>
  </si>
  <si>
    <t>Reporting</t>
  </si>
  <si>
    <t>Java</t>
  </si>
  <si>
    <t>Unknown</t>
  </si>
  <si>
    <t>MOD-004</t>
  </si>
  <si>
    <t>User Interface</t>
  </si>
  <si>
    <t>TypeScript</t>
  </si>
  <si>
    <t>High</t>
  </si>
  <si>
    <t>MOD-005</t>
  </si>
  <si>
    <t>Data Access</t>
  </si>
  <si>
    <t>MOD-006</t>
  </si>
  <si>
    <t>Notifications</t>
  </si>
  <si>
    <t>Critical</t>
  </si>
  <si>
    <t>MOD-007</t>
  </si>
  <si>
    <t>MOD-008</t>
  </si>
  <si>
    <t>JavaScript</t>
  </si>
  <si>
    <t>MOD-009</t>
  </si>
  <si>
    <t>MOD-010</t>
  </si>
  <si>
    <t>MOD-011</t>
  </si>
  <si>
    <t>MOD-012</t>
  </si>
  <si>
    <t>MOD-013</t>
  </si>
  <si>
    <t>MOD-014</t>
  </si>
  <si>
    <t>MOD-015</t>
  </si>
  <si>
    <t>MOD-016</t>
  </si>
  <si>
    <t>MOD-017</t>
  </si>
  <si>
    <t>MOD-018</t>
  </si>
  <si>
    <t>MOD-019</t>
  </si>
  <si>
    <t>MOD-020</t>
  </si>
  <si>
    <t>MOD-021</t>
  </si>
  <si>
    <t>MOD-022</t>
  </si>
  <si>
    <t>MOD-023</t>
  </si>
  <si>
    <t>MOD-024</t>
  </si>
  <si>
    <t>MOD-025</t>
  </si>
  <si>
    <t>MOD-026</t>
  </si>
  <si>
    <t>MOD-027</t>
  </si>
  <si>
    <t>MOD-028</t>
  </si>
  <si>
    <t>MOD-029</t>
  </si>
  <si>
    <t>MOD-030</t>
  </si>
  <si>
    <t>MOD-031</t>
  </si>
  <si>
    <t>MOD-032</t>
  </si>
  <si>
    <t>MOD-033</t>
  </si>
  <si>
    <t>MOD-034</t>
  </si>
  <si>
    <t>MOD-035</t>
  </si>
  <si>
    <t>MOD-036</t>
  </si>
  <si>
    <t>MOD-037</t>
  </si>
  <si>
    <t>MOD-038</t>
  </si>
  <si>
    <t>MOD-039</t>
  </si>
  <si>
    <t>MOD-040</t>
  </si>
  <si>
    <t>MOD-041</t>
  </si>
  <si>
    <t>MOD-042</t>
  </si>
  <si>
    <t>MOD-043</t>
  </si>
  <si>
    <t>MOD-044</t>
  </si>
  <si>
    <t>MOD-045</t>
  </si>
  <si>
    <t>No defect record</t>
  </si>
  <si>
    <t>MOD-046</t>
  </si>
  <si>
    <t>MOD-047</t>
  </si>
  <si>
    <t>MOD-048</t>
  </si>
  <si>
    <t>MOD-049</t>
  </si>
  <si>
    <t>MOD-050</t>
  </si>
  <si>
    <t>MOD-051</t>
  </si>
  <si>
    <t>MOD-052</t>
  </si>
  <si>
    <t>MOD-053</t>
  </si>
  <si>
    <t>MOD-054</t>
  </si>
  <si>
    <t>MOD-055</t>
  </si>
  <si>
    <t>MOD-056</t>
  </si>
  <si>
    <t>MOD-057</t>
  </si>
  <si>
    <t>MOD-058</t>
  </si>
  <si>
    <t>MOD-059</t>
  </si>
  <si>
    <t>MOD-060</t>
  </si>
  <si>
    <t>v1.1</t>
  </si>
  <si>
    <t>v1.2</t>
  </si>
  <si>
    <t>v1.3</t>
  </si>
  <si>
    <t>v1.4</t>
  </si>
  <si>
    <t>v1.5</t>
  </si>
  <si>
    <t>Row Labels</t>
  </si>
  <si>
    <t>Grand Total</t>
  </si>
  <si>
    <t>Sum of defect_count</t>
  </si>
  <si>
    <t>Metric</t>
  </si>
  <si>
    <t>Correlation with Defects</t>
  </si>
  <si>
    <t>Complexity</t>
  </si>
  <si>
    <t>Average of test_coverage</t>
  </si>
  <si>
    <t>Test Coverage</t>
  </si>
  <si>
    <t>Code Churn</t>
  </si>
  <si>
    <t>Column Labels</t>
  </si>
  <si>
    <t>Contributor</t>
  </si>
  <si>
    <t>SOFTWARE QUALITY INSIGHT DASHBOARD</t>
  </si>
  <si>
    <t>Software Quality Insight — Key Findings</t>
  </si>
  <si>
    <r>
      <t>1. Defect hotspots:</t>
    </r>
    <r>
      <rPr>
        <sz val="11"/>
        <color theme="1"/>
        <rFont val="Aptos Narrow"/>
        <family val="2"/>
        <scheme val="minor"/>
      </rPr>
      <t xml:space="preserve"> The Top 10 module chart identifies modules with the highest defect counts. In the synthetic dataset, MOD-050 has 16 defects.</t>
    </r>
  </si>
  <si>
    <r>
      <t>2. Complexity:</t>
    </r>
    <r>
      <rPr>
        <sz val="11"/>
        <color theme="1"/>
        <rFont val="Aptos Narrow"/>
        <family val="2"/>
        <scheme val="minor"/>
      </rPr>
      <t xml:space="preserve"> Correlation with defects is 0.1882, indicating a weak positive relationship.</t>
    </r>
  </si>
  <si>
    <r>
      <t>3. Code churn:</t>
    </r>
    <r>
      <rPr>
        <sz val="11"/>
        <color theme="1"/>
        <rFont val="Aptos Narrow"/>
        <family val="2"/>
        <scheme val="minor"/>
      </rPr>
      <t xml:space="preserve"> Correlation with defects is 0.1885, indicating a weak positive relationship.</t>
    </r>
  </si>
  <si>
    <r>
      <t>4. Test coverage:</t>
    </r>
    <r>
      <rPr>
        <sz val="11"/>
        <color theme="1"/>
        <rFont val="Aptos Narrow"/>
        <family val="2"/>
        <scheme val="minor"/>
      </rPr>
      <t xml:space="preserve"> Correlation with defects is -0.2667, indicating a weak negative relationship.</t>
    </r>
  </si>
  <si>
    <r>
      <t>5. Contributor count:</t>
    </r>
    <r>
      <rPr>
        <sz val="11"/>
        <color theme="1"/>
        <rFont val="Aptos Narrow"/>
        <family val="2"/>
        <scheme val="minor"/>
      </rPr>
      <t xml:space="preserve"> Correlation with defects is -0.0337, indicating almost no linear relationship.</t>
    </r>
  </si>
  <si>
    <r>
      <t>6. Component trends:</t>
    </r>
    <r>
      <rPr>
        <sz val="11"/>
        <color theme="1"/>
        <rFont val="Aptos Narrow"/>
        <family val="2"/>
        <scheme val="minor"/>
      </rPr>
      <t xml:space="preserve"> The component-versus-release PivotTable and chart help identify components with recurring defects across releases.</t>
    </r>
  </si>
  <si>
    <t>Recommendations</t>
  </si>
  <si>
    <t>Review modules with the highest defect counts first.</t>
  </si>
  <si>
    <t>Investigate complex modules and frequently changed code.</t>
  </si>
  <si>
    <t>Review test coverage in modules with high defect counts.</t>
  </si>
  <si>
    <t>Monitor components with recurring defects across releases.</t>
  </si>
  <si>
    <t>Use these results as exploratory insights; validate them with real project data before making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</si>
</sst>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vertical="center"/>
    </xf>
    <xf numFmtId="0" fontId="18" fillId="0" borderId="0" xfId="0" applyNumberFormat="1" applyFont="1" applyAlignment="1">
      <alignment vertical="center"/>
    </xf>
    <xf numFmtId="0" fontId="17" fillId="9" borderId="0" xfId="18"/>
    <xf numFmtId="0" fontId="0" fillId="0" borderId="0" xfId="0" applyFont="1"/>
    <xf numFmtId="0" fontId="0" fillId="0" borderId="0" xfId="0" applyAlignment="1">
      <alignment wrapText="1"/>
    </xf>
    <xf numFmtId="0" fontId="16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6" fillId="0" borderId="12" xfId="0" applyFont="1" applyBorder="1" applyAlignment="1">
      <alignment wrapText="1"/>
    </xf>
    <xf numFmtId="0" fontId="0" fillId="0" borderId="0" xfId="0" applyBorder="1" applyAlignment="1">
      <alignment wrapText="1"/>
    </xf>
    <xf numFmtId="0" fontId="16" fillId="0" borderId="11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750833333333333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3"/>
          <c:tx>
            <c:v>Defect Count vs Complexity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Cleaned_Dataset!$G$2:$G$361</c:f>
              <c:numCache>
                <c:formatCode>General</c:formatCode>
                <c:ptCount val="360"/>
                <c:pt idx="0">
                  <c:v>29.57</c:v>
                </c:pt>
                <c:pt idx="1">
                  <c:v>36.659999999999997</c:v>
                </c:pt>
                <c:pt idx="2">
                  <c:v>29.94</c:v>
                </c:pt>
                <c:pt idx="3">
                  <c:v>44.45</c:v>
                </c:pt>
                <c:pt idx="4">
                  <c:v>37.18</c:v>
                </c:pt>
                <c:pt idx="5">
                  <c:v>20.68</c:v>
                </c:pt>
                <c:pt idx="6">
                  <c:v>8.76</c:v>
                </c:pt>
                <c:pt idx="7">
                  <c:v>9.08</c:v>
                </c:pt>
                <c:pt idx="8">
                  <c:v>18.86</c:v>
                </c:pt>
                <c:pt idx="9">
                  <c:v>37.369999999999997</c:v>
                </c:pt>
                <c:pt idx="10">
                  <c:v>38.270000000000003</c:v>
                </c:pt>
                <c:pt idx="11">
                  <c:v>37.950000000000003</c:v>
                </c:pt>
                <c:pt idx="12">
                  <c:v>16.649999999999999</c:v>
                </c:pt>
                <c:pt idx="13">
                  <c:v>23.56</c:v>
                </c:pt>
                <c:pt idx="14">
                  <c:v>19.48</c:v>
                </c:pt>
                <c:pt idx="15">
                  <c:v>27.88</c:v>
                </c:pt>
                <c:pt idx="16">
                  <c:v>30.36</c:v>
                </c:pt>
                <c:pt idx="17">
                  <c:v>10.75</c:v>
                </c:pt>
                <c:pt idx="18">
                  <c:v>38.64</c:v>
                </c:pt>
                <c:pt idx="19">
                  <c:v>27.93</c:v>
                </c:pt>
                <c:pt idx="20">
                  <c:v>33.950000000000003</c:v>
                </c:pt>
                <c:pt idx="21">
                  <c:v>32.25</c:v>
                </c:pt>
                <c:pt idx="22">
                  <c:v>18.239999999999998</c:v>
                </c:pt>
                <c:pt idx="23">
                  <c:v>31.88</c:v>
                </c:pt>
                <c:pt idx="24">
                  <c:v>10.66</c:v>
                </c:pt>
                <c:pt idx="25">
                  <c:v>24.24</c:v>
                </c:pt>
                <c:pt idx="26">
                  <c:v>45.06</c:v>
                </c:pt>
                <c:pt idx="27">
                  <c:v>9.9499999999999993</c:v>
                </c:pt>
                <c:pt idx="28">
                  <c:v>27.39</c:v>
                </c:pt>
                <c:pt idx="29">
                  <c:v>40.42</c:v>
                </c:pt>
                <c:pt idx="30">
                  <c:v>17.64</c:v>
                </c:pt>
                <c:pt idx="31">
                  <c:v>42.7</c:v>
                </c:pt>
                <c:pt idx="32">
                  <c:v>45.18</c:v>
                </c:pt>
                <c:pt idx="33">
                  <c:v>6.16</c:v>
                </c:pt>
                <c:pt idx="34">
                  <c:v>27.57</c:v>
                </c:pt>
                <c:pt idx="35">
                  <c:v>31.215</c:v>
                </c:pt>
                <c:pt idx="36">
                  <c:v>23.13</c:v>
                </c:pt>
                <c:pt idx="37">
                  <c:v>22.92</c:v>
                </c:pt>
                <c:pt idx="38">
                  <c:v>28.18</c:v>
                </c:pt>
                <c:pt idx="39">
                  <c:v>33.61</c:v>
                </c:pt>
                <c:pt idx="40">
                  <c:v>22.88</c:v>
                </c:pt>
                <c:pt idx="41">
                  <c:v>50.62</c:v>
                </c:pt>
                <c:pt idx="42">
                  <c:v>32.909999999999997</c:v>
                </c:pt>
                <c:pt idx="43">
                  <c:v>47.24</c:v>
                </c:pt>
                <c:pt idx="44">
                  <c:v>17.39</c:v>
                </c:pt>
                <c:pt idx="45">
                  <c:v>5.14</c:v>
                </c:pt>
                <c:pt idx="46">
                  <c:v>29.25</c:v>
                </c:pt>
                <c:pt idx="47">
                  <c:v>42.82</c:v>
                </c:pt>
                <c:pt idx="48">
                  <c:v>10.79</c:v>
                </c:pt>
                <c:pt idx="49">
                  <c:v>41.4</c:v>
                </c:pt>
                <c:pt idx="51">
                  <c:v>46.36</c:v>
                </c:pt>
                <c:pt idx="52">
                  <c:v>4.45</c:v>
                </c:pt>
                <c:pt idx="53">
                  <c:v>31.94</c:v>
                </c:pt>
                <c:pt idx="54">
                  <c:v>22.98</c:v>
                </c:pt>
                <c:pt idx="55">
                  <c:v>20.260000000000002</c:v>
                </c:pt>
                <c:pt idx="56">
                  <c:v>27.07</c:v>
                </c:pt>
                <c:pt idx="57">
                  <c:v>41.49</c:v>
                </c:pt>
                <c:pt idx="58">
                  <c:v>54.9</c:v>
                </c:pt>
                <c:pt idx="59">
                  <c:v>27.43</c:v>
                </c:pt>
                <c:pt idx="60">
                  <c:v>24.46</c:v>
                </c:pt>
                <c:pt idx="61">
                  <c:v>48.56</c:v>
                </c:pt>
                <c:pt idx="62">
                  <c:v>41.76</c:v>
                </c:pt>
                <c:pt idx="63">
                  <c:v>39.979999999999997</c:v>
                </c:pt>
                <c:pt idx="64">
                  <c:v>46.79</c:v>
                </c:pt>
                <c:pt idx="65">
                  <c:v>28.59</c:v>
                </c:pt>
                <c:pt idx="66">
                  <c:v>17.170000000000002</c:v>
                </c:pt>
                <c:pt idx="67">
                  <c:v>1</c:v>
                </c:pt>
                <c:pt idx="68">
                  <c:v>24.34</c:v>
                </c:pt>
                <c:pt idx="69">
                  <c:v>42.76</c:v>
                </c:pt>
                <c:pt idx="70">
                  <c:v>48.88</c:v>
                </c:pt>
                <c:pt idx="71">
                  <c:v>36.33</c:v>
                </c:pt>
                <c:pt idx="72">
                  <c:v>22.52</c:v>
                </c:pt>
                <c:pt idx="73">
                  <c:v>19.07</c:v>
                </c:pt>
                <c:pt idx="74">
                  <c:v>13.2</c:v>
                </c:pt>
                <c:pt idx="75">
                  <c:v>25.52</c:v>
                </c:pt>
                <c:pt idx="76">
                  <c:v>31.56</c:v>
                </c:pt>
                <c:pt idx="77">
                  <c:v>14.6</c:v>
                </c:pt>
                <c:pt idx="78">
                  <c:v>35.229999999999997</c:v>
                </c:pt>
                <c:pt idx="79">
                  <c:v>33.61</c:v>
                </c:pt>
                <c:pt idx="80">
                  <c:v>43.29</c:v>
                </c:pt>
                <c:pt idx="81">
                  <c:v>28.83</c:v>
                </c:pt>
                <c:pt idx="82">
                  <c:v>16.760000000000002</c:v>
                </c:pt>
                <c:pt idx="83">
                  <c:v>30</c:v>
                </c:pt>
                <c:pt idx="84">
                  <c:v>19.420000000000002</c:v>
                </c:pt>
                <c:pt idx="85">
                  <c:v>21.09</c:v>
                </c:pt>
                <c:pt idx="86">
                  <c:v>47.96</c:v>
                </c:pt>
                <c:pt idx="87">
                  <c:v>15.57</c:v>
                </c:pt>
                <c:pt idx="88">
                  <c:v>20.74</c:v>
                </c:pt>
                <c:pt idx="89">
                  <c:v>46.76</c:v>
                </c:pt>
                <c:pt idx="90">
                  <c:v>27.78</c:v>
                </c:pt>
                <c:pt idx="91">
                  <c:v>51.36</c:v>
                </c:pt>
                <c:pt idx="92">
                  <c:v>40</c:v>
                </c:pt>
                <c:pt idx="93">
                  <c:v>14.77</c:v>
                </c:pt>
                <c:pt idx="94">
                  <c:v>24.7</c:v>
                </c:pt>
                <c:pt idx="95">
                  <c:v>45.34</c:v>
                </c:pt>
                <c:pt idx="96">
                  <c:v>25.71</c:v>
                </c:pt>
                <c:pt idx="97">
                  <c:v>28.57</c:v>
                </c:pt>
                <c:pt idx="98">
                  <c:v>40.65</c:v>
                </c:pt>
                <c:pt idx="99">
                  <c:v>41.28</c:v>
                </c:pt>
                <c:pt idx="100">
                  <c:v>23.9</c:v>
                </c:pt>
                <c:pt idx="101">
                  <c:v>44.34</c:v>
                </c:pt>
                <c:pt idx="102">
                  <c:v>26.2</c:v>
                </c:pt>
                <c:pt idx="103">
                  <c:v>42.09</c:v>
                </c:pt>
                <c:pt idx="104">
                  <c:v>24.97</c:v>
                </c:pt>
                <c:pt idx="105">
                  <c:v>17.09</c:v>
                </c:pt>
                <c:pt idx="106">
                  <c:v>40.1</c:v>
                </c:pt>
                <c:pt idx="107">
                  <c:v>48.84</c:v>
                </c:pt>
                <c:pt idx="108">
                  <c:v>5.19</c:v>
                </c:pt>
                <c:pt idx="109">
                  <c:v>40.1</c:v>
                </c:pt>
                <c:pt idx="110">
                  <c:v>30.63</c:v>
                </c:pt>
                <c:pt idx="111">
                  <c:v>45.65</c:v>
                </c:pt>
                <c:pt idx="112">
                  <c:v>4.9000000000000004</c:v>
                </c:pt>
                <c:pt idx="113">
                  <c:v>28.46</c:v>
                </c:pt>
                <c:pt idx="114">
                  <c:v>9.58</c:v>
                </c:pt>
                <c:pt idx="115">
                  <c:v>5.01</c:v>
                </c:pt>
                <c:pt idx="116">
                  <c:v>34.75</c:v>
                </c:pt>
                <c:pt idx="117">
                  <c:v>34.03</c:v>
                </c:pt>
                <c:pt idx="118">
                  <c:v>44.04</c:v>
                </c:pt>
                <c:pt idx="119">
                  <c:v>27.25</c:v>
                </c:pt>
                <c:pt idx="120">
                  <c:v>68.639999999999901</c:v>
                </c:pt>
                <c:pt idx="121">
                  <c:v>49.94</c:v>
                </c:pt>
                <c:pt idx="122">
                  <c:v>37.76</c:v>
                </c:pt>
                <c:pt idx="123">
                  <c:v>47.37</c:v>
                </c:pt>
                <c:pt idx="124">
                  <c:v>38.450000000000003</c:v>
                </c:pt>
                <c:pt idx="125">
                  <c:v>36.03</c:v>
                </c:pt>
                <c:pt idx="126">
                  <c:v>22.42</c:v>
                </c:pt>
                <c:pt idx="127">
                  <c:v>8.89</c:v>
                </c:pt>
                <c:pt idx="128">
                  <c:v>18.899999999999999</c:v>
                </c:pt>
                <c:pt idx="129">
                  <c:v>34.659999999999997</c:v>
                </c:pt>
                <c:pt idx="130">
                  <c:v>37.1</c:v>
                </c:pt>
                <c:pt idx="131">
                  <c:v>38.44</c:v>
                </c:pt>
                <c:pt idx="132">
                  <c:v>27.77</c:v>
                </c:pt>
                <c:pt idx="133">
                  <c:v>17.82</c:v>
                </c:pt>
                <c:pt idx="134">
                  <c:v>19.68</c:v>
                </c:pt>
                <c:pt idx="135">
                  <c:v>29.07</c:v>
                </c:pt>
                <c:pt idx="136">
                  <c:v>40.869999999999997</c:v>
                </c:pt>
                <c:pt idx="137">
                  <c:v>16.440000000000001</c:v>
                </c:pt>
                <c:pt idx="138">
                  <c:v>41.68</c:v>
                </c:pt>
                <c:pt idx="139">
                  <c:v>32.57</c:v>
                </c:pt>
                <c:pt idx="140">
                  <c:v>40.93</c:v>
                </c:pt>
                <c:pt idx="141">
                  <c:v>41.74</c:v>
                </c:pt>
                <c:pt idx="142">
                  <c:v>17.87</c:v>
                </c:pt>
                <c:pt idx="143">
                  <c:v>31.15</c:v>
                </c:pt>
                <c:pt idx="144">
                  <c:v>26.01</c:v>
                </c:pt>
                <c:pt idx="145">
                  <c:v>25.74</c:v>
                </c:pt>
                <c:pt idx="146">
                  <c:v>40.369999999999997</c:v>
                </c:pt>
                <c:pt idx="147">
                  <c:v>14.32</c:v>
                </c:pt>
                <c:pt idx="148">
                  <c:v>25.3</c:v>
                </c:pt>
                <c:pt idx="149">
                  <c:v>32.93</c:v>
                </c:pt>
                <c:pt idx="150">
                  <c:v>39.14</c:v>
                </c:pt>
                <c:pt idx="151">
                  <c:v>40.58</c:v>
                </c:pt>
                <c:pt idx="152">
                  <c:v>46.89</c:v>
                </c:pt>
                <c:pt idx="153">
                  <c:v>14.5</c:v>
                </c:pt>
                <c:pt idx="154">
                  <c:v>34.26</c:v>
                </c:pt>
                <c:pt idx="155">
                  <c:v>35.5</c:v>
                </c:pt>
                <c:pt idx="156">
                  <c:v>31.92</c:v>
                </c:pt>
                <c:pt idx="157">
                  <c:v>20.49</c:v>
                </c:pt>
                <c:pt idx="158">
                  <c:v>28.83</c:v>
                </c:pt>
                <c:pt idx="159">
                  <c:v>37</c:v>
                </c:pt>
                <c:pt idx="160">
                  <c:v>31.41</c:v>
                </c:pt>
                <c:pt idx="161">
                  <c:v>40.9</c:v>
                </c:pt>
                <c:pt idx="162">
                  <c:v>37.74</c:v>
                </c:pt>
                <c:pt idx="163">
                  <c:v>43.53</c:v>
                </c:pt>
                <c:pt idx="164">
                  <c:v>29.5</c:v>
                </c:pt>
                <c:pt idx="165">
                  <c:v>21.79</c:v>
                </c:pt>
                <c:pt idx="166">
                  <c:v>23.43</c:v>
                </c:pt>
                <c:pt idx="167">
                  <c:v>39.549999999999997</c:v>
                </c:pt>
                <c:pt idx="168">
                  <c:v>19.510000000000002</c:v>
                </c:pt>
                <c:pt idx="169">
                  <c:v>42.31</c:v>
                </c:pt>
                <c:pt idx="170">
                  <c:v>32.79</c:v>
                </c:pt>
                <c:pt idx="171">
                  <c:v>42.11</c:v>
                </c:pt>
                <c:pt idx="172">
                  <c:v>12.01</c:v>
                </c:pt>
                <c:pt idx="173">
                  <c:v>28.03</c:v>
                </c:pt>
                <c:pt idx="174">
                  <c:v>16.34</c:v>
                </c:pt>
                <c:pt idx="175">
                  <c:v>14.06</c:v>
                </c:pt>
                <c:pt idx="176">
                  <c:v>27.29</c:v>
                </c:pt>
                <c:pt idx="177">
                  <c:v>42.21</c:v>
                </c:pt>
                <c:pt idx="178">
                  <c:v>58.27</c:v>
                </c:pt>
                <c:pt idx="179">
                  <c:v>39.22</c:v>
                </c:pt>
                <c:pt idx="180">
                  <c:v>20.309999999999999</c:v>
                </c:pt>
                <c:pt idx="181">
                  <c:v>31.29</c:v>
                </c:pt>
                <c:pt idx="182">
                  <c:v>37.99</c:v>
                </c:pt>
                <c:pt idx="183">
                  <c:v>36.89</c:v>
                </c:pt>
                <c:pt idx="184">
                  <c:v>40.270000000000003</c:v>
                </c:pt>
                <c:pt idx="185">
                  <c:v>28.39</c:v>
                </c:pt>
                <c:pt idx="186">
                  <c:v>19.52</c:v>
                </c:pt>
                <c:pt idx="187">
                  <c:v>11.72</c:v>
                </c:pt>
                <c:pt idx="188">
                  <c:v>21.83</c:v>
                </c:pt>
                <c:pt idx="189">
                  <c:v>36.6</c:v>
                </c:pt>
                <c:pt idx="190">
                  <c:v>46.38</c:v>
                </c:pt>
                <c:pt idx="191">
                  <c:v>45.85</c:v>
                </c:pt>
                <c:pt idx="192">
                  <c:v>13.63</c:v>
                </c:pt>
                <c:pt idx="193">
                  <c:v>16.36</c:v>
                </c:pt>
                <c:pt idx="194">
                  <c:v>17.93</c:v>
                </c:pt>
                <c:pt idx="195">
                  <c:v>24.56</c:v>
                </c:pt>
                <c:pt idx="196">
                  <c:v>33.21</c:v>
                </c:pt>
                <c:pt idx="197">
                  <c:v>23.37</c:v>
                </c:pt>
                <c:pt idx="198">
                  <c:v>32.61</c:v>
                </c:pt>
                <c:pt idx="199">
                  <c:v>27.37</c:v>
                </c:pt>
                <c:pt idx="200">
                  <c:v>35</c:v>
                </c:pt>
                <c:pt idx="201">
                  <c:v>31.68</c:v>
                </c:pt>
                <c:pt idx="202">
                  <c:v>10.32</c:v>
                </c:pt>
                <c:pt idx="203">
                  <c:v>25.87</c:v>
                </c:pt>
                <c:pt idx="204">
                  <c:v>18.920000000000002</c:v>
                </c:pt>
                <c:pt idx="205">
                  <c:v>26.78</c:v>
                </c:pt>
                <c:pt idx="206">
                  <c:v>48.32</c:v>
                </c:pt>
                <c:pt idx="207">
                  <c:v>11.12</c:v>
                </c:pt>
                <c:pt idx="208">
                  <c:v>21.72</c:v>
                </c:pt>
                <c:pt idx="209">
                  <c:v>44.09</c:v>
                </c:pt>
                <c:pt idx="210">
                  <c:v>32.49</c:v>
                </c:pt>
                <c:pt idx="211">
                  <c:v>52.06</c:v>
                </c:pt>
                <c:pt idx="212">
                  <c:v>32.97</c:v>
                </c:pt>
                <c:pt idx="213">
                  <c:v>3.09</c:v>
                </c:pt>
                <c:pt idx="214">
                  <c:v>31.58</c:v>
                </c:pt>
                <c:pt idx="215">
                  <c:v>35.79</c:v>
                </c:pt>
                <c:pt idx="216">
                  <c:v>37.56</c:v>
                </c:pt>
                <c:pt idx="217">
                  <c:v>16.73</c:v>
                </c:pt>
                <c:pt idx="218">
                  <c:v>36.08</c:v>
                </c:pt>
                <c:pt idx="219">
                  <c:v>27.27</c:v>
                </c:pt>
                <c:pt idx="220">
                  <c:v>28.37</c:v>
                </c:pt>
                <c:pt idx="221">
                  <c:v>50.72</c:v>
                </c:pt>
                <c:pt idx="222">
                  <c:v>24.47</c:v>
                </c:pt>
                <c:pt idx="223">
                  <c:v>49.51</c:v>
                </c:pt>
                <c:pt idx="224">
                  <c:v>20.260000000000002</c:v>
                </c:pt>
                <c:pt idx="225">
                  <c:v>10.97</c:v>
                </c:pt>
                <c:pt idx="226">
                  <c:v>40.770000000000003</c:v>
                </c:pt>
                <c:pt idx="227">
                  <c:v>36.44</c:v>
                </c:pt>
                <c:pt idx="228">
                  <c:v>13.28</c:v>
                </c:pt>
                <c:pt idx="229">
                  <c:v>39.090000000000003</c:v>
                </c:pt>
                <c:pt idx="230">
                  <c:v>19.899999999999999</c:v>
                </c:pt>
                <c:pt idx="231">
                  <c:v>44.42</c:v>
                </c:pt>
                <c:pt idx="232">
                  <c:v>9.86</c:v>
                </c:pt>
                <c:pt idx="233">
                  <c:v>25.33</c:v>
                </c:pt>
                <c:pt idx="234">
                  <c:v>20.12</c:v>
                </c:pt>
                <c:pt idx="235">
                  <c:v>11.99</c:v>
                </c:pt>
                <c:pt idx="236">
                  <c:v>34.770000000000003</c:v>
                </c:pt>
                <c:pt idx="237">
                  <c:v>48.02</c:v>
                </c:pt>
                <c:pt idx="238">
                  <c:v>51.63</c:v>
                </c:pt>
                <c:pt idx="239">
                  <c:v>39.04</c:v>
                </c:pt>
                <c:pt idx="240">
                  <c:v>29.17</c:v>
                </c:pt>
                <c:pt idx="241">
                  <c:v>44.8</c:v>
                </c:pt>
                <c:pt idx="242">
                  <c:v>34.18</c:v>
                </c:pt>
                <c:pt idx="243">
                  <c:v>47.81</c:v>
                </c:pt>
                <c:pt idx="244">
                  <c:v>42.58</c:v>
                </c:pt>
                <c:pt idx="245">
                  <c:v>32.130000000000003</c:v>
                </c:pt>
                <c:pt idx="246">
                  <c:v>19.7</c:v>
                </c:pt>
                <c:pt idx="247">
                  <c:v>21.04</c:v>
                </c:pt>
                <c:pt idx="248">
                  <c:v>17.32</c:v>
                </c:pt>
                <c:pt idx="249">
                  <c:v>38.17</c:v>
                </c:pt>
                <c:pt idx="250">
                  <c:v>37.31</c:v>
                </c:pt>
                <c:pt idx="251">
                  <c:v>34.67</c:v>
                </c:pt>
                <c:pt idx="252">
                  <c:v>22.96</c:v>
                </c:pt>
                <c:pt idx="253">
                  <c:v>26.82</c:v>
                </c:pt>
                <c:pt idx="254">
                  <c:v>4.8099999999999996</c:v>
                </c:pt>
                <c:pt idx="255">
                  <c:v>27.82</c:v>
                </c:pt>
                <c:pt idx="256">
                  <c:v>36.24</c:v>
                </c:pt>
                <c:pt idx="257">
                  <c:v>12.05</c:v>
                </c:pt>
                <c:pt idx="258">
                  <c:v>34.299999999999997</c:v>
                </c:pt>
                <c:pt idx="259">
                  <c:v>38.85</c:v>
                </c:pt>
                <c:pt idx="260">
                  <c:v>29.86</c:v>
                </c:pt>
                <c:pt idx="261">
                  <c:v>38.79</c:v>
                </c:pt>
                <c:pt idx="262">
                  <c:v>13.33</c:v>
                </c:pt>
                <c:pt idx="263">
                  <c:v>37.74</c:v>
                </c:pt>
                <c:pt idx="264">
                  <c:v>19.34</c:v>
                </c:pt>
                <c:pt idx="265">
                  <c:v>32.58</c:v>
                </c:pt>
                <c:pt idx="266">
                  <c:v>53.69</c:v>
                </c:pt>
                <c:pt idx="267">
                  <c:v>14.83</c:v>
                </c:pt>
                <c:pt idx="268">
                  <c:v>31.28</c:v>
                </c:pt>
                <c:pt idx="269">
                  <c:v>33.21</c:v>
                </c:pt>
                <c:pt idx="270">
                  <c:v>40.340000000000003</c:v>
                </c:pt>
                <c:pt idx="271">
                  <c:v>40</c:v>
                </c:pt>
                <c:pt idx="272">
                  <c:v>38</c:v>
                </c:pt>
                <c:pt idx="273">
                  <c:v>13.16</c:v>
                </c:pt>
                <c:pt idx="274">
                  <c:v>26.24</c:v>
                </c:pt>
                <c:pt idx="275">
                  <c:v>43.25</c:v>
                </c:pt>
                <c:pt idx="276">
                  <c:v>23.72</c:v>
                </c:pt>
                <c:pt idx="277">
                  <c:v>27.97</c:v>
                </c:pt>
                <c:pt idx="278">
                  <c:v>35.24</c:v>
                </c:pt>
                <c:pt idx="279">
                  <c:v>29.69</c:v>
                </c:pt>
                <c:pt idx="280">
                  <c:v>23.65</c:v>
                </c:pt>
                <c:pt idx="281">
                  <c:v>37.020000000000003</c:v>
                </c:pt>
                <c:pt idx="282">
                  <c:v>33.42</c:v>
                </c:pt>
                <c:pt idx="283">
                  <c:v>48.77</c:v>
                </c:pt>
                <c:pt idx="284">
                  <c:v>29.18</c:v>
                </c:pt>
                <c:pt idx="285">
                  <c:v>5</c:v>
                </c:pt>
                <c:pt idx="286">
                  <c:v>42.62</c:v>
                </c:pt>
                <c:pt idx="287">
                  <c:v>45.17</c:v>
                </c:pt>
                <c:pt idx="288">
                  <c:v>9.2100000000000009</c:v>
                </c:pt>
                <c:pt idx="289">
                  <c:v>41.55</c:v>
                </c:pt>
                <c:pt idx="290">
                  <c:v>37.68</c:v>
                </c:pt>
                <c:pt idx="291">
                  <c:v>42.67</c:v>
                </c:pt>
                <c:pt idx="292">
                  <c:v>2.2200000000000002</c:v>
                </c:pt>
                <c:pt idx="293">
                  <c:v>21.72</c:v>
                </c:pt>
                <c:pt idx="294">
                  <c:v>19.7</c:v>
                </c:pt>
                <c:pt idx="295">
                  <c:v>16.84</c:v>
                </c:pt>
                <c:pt idx="296">
                  <c:v>37.799999999999997</c:v>
                </c:pt>
                <c:pt idx="297">
                  <c:v>46.92</c:v>
                </c:pt>
                <c:pt idx="298">
                  <c:v>41.48</c:v>
                </c:pt>
                <c:pt idx="299">
                  <c:v>29.47</c:v>
                </c:pt>
                <c:pt idx="300">
                  <c:v>24.44</c:v>
                </c:pt>
                <c:pt idx="301">
                  <c:v>40.01</c:v>
                </c:pt>
                <c:pt idx="302">
                  <c:v>34.33</c:v>
                </c:pt>
                <c:pt idx="303">
                  <c:v>48.27</c:v>
                </c:pt>
                <c:pt idx="304">
                  <c:v>37.880000000000003</c:v>
                </c:pt>
                <c:pt idx="305">
                  <c:v>26.24</c:v>
                </c:pt>
                <c:pt idx="306">
                  <c:v>13.9</c:v>
                </c:pt>
                <c:pt idx="307">
                  <c:v>6.64</c:v>
                </c:pt>
                <c:pt idx="308">
                  <c:v>19.04</c:v>
                </c:pt>
                <c:pt idx="309">
                  <c:v>39.299999999999997</c:v>
                </c:pt>
                <c:pt idx="310">
                  <c:v>45.55</c:v>
                </c:pt>
                <c:pt idx="311">
                  <c:v>45.46</c:v>
                </c:pt>
                <c:pt idx="312">
                  <c:v>21.81</c:v>
                </c:pt>
                <c:pt idx="313">
                  <c:v>24.91</c:v>
                </c:pt>
                <c:pt idx="314">
                  <c:v>3.88</c:v>
                </c:pt>
                <c:pt idx="315">
                  <c:v>32.31</c:v>
                </c:pt>
                <c:pt idx="316">
                  <c:v>27.67</c:v>
                </c:pt>
                <c:pt idx="317">
                  <c:v>12.39</c:v>
                </c:pt>
                <c:pt idx="318">
                  <c:v>32.700000000000003</c:v>
                </c:pt>
                <c:pt idx="319">
                  <c:v>31.51</c:v>
                </c:pt>
                <c:pt idx="320">
                  <c:v>48.55</c:v>
                </c:pt>
                <c:pt idx="321">
                  <c:v>39.54</c:v>
                </c:pt>
                <c:pt idx="322">
                  <c:v>14.93</c:v>
                </c:pt>
                <c:pt idx="323">
                  <c:v>36.1</c:v>
                </c:pt>
                <c:pt idx="324">
                  <c:v>31.47</c:v>
                </c:pt>
                <c:pt idx="325">
                  <c:v>21.91</c:v>
                </c:pt>
                <c:pt idx="326">
                  <c:v>36.46</c:v>
                </c:pt>
                <c:pt idx="327">
                  <c:v>14.01</c:v>
                </c:pt>
                <c:pt idx="328">
                  <c:v>26.2</c:v>
                </c:pt>
                <c:pt idx="329">
                  <c:v>44.98</c:v>
                </c:pt>
                <c:pt idx="330">
                  <c:v>25.77</c:v>
                </c:pt>
                <c:pt idx="331">
                  <c:v>47.3</c:v>
                </c:pt>
                <c:pt idx="332">
                  <c:v>46.73</c:v>
                </c:pt>
                <c:pt idx="333">
                  <c:v>5.23</c:v>
                </c:pt>
                <c:pt idx="334">
                  <c:v>37.950000000000003</c:v>
                </c:pt>
                <c:pt idx="335">
                  <c:v>41.7</c:v>
                </c:pt>
                <c:pt idx="336">
                  <c:v>24.13</c:v>
                </c:pt>
                <c:pt idx="337">
                  <c:v>30.14</c:v>
                </c:pt>
                <c:pt idx="338">
                  <c:v>30.63</c:v>
                </c:pt>
                <c:pt idx="339">
                  <c:v>28.08</c:v>
                </c:pt>
                <c:pt idx="340">
                  <c:v>23.24</c:v>
                </c:pt>
                <c:pt idx="341">
                  <c:v>50.21</c:v>
                </c:pt>
                <c:pt idx="342">
                  <c:v>32.200000000000003</c:v>
                </c:pt>
                <c:pt idx="343">
                  <c:v>51.8</c:v>
                </c:pt>
                <c:pt idx="344">
                  <c:v>15.06</c:v>
                </c:pt>
                <c:pt idx="345">
                  <c:v>13.35</c:v>
                </c:pt>
                <c:pt idx="346">
                  <c:v>42.5</c:v>
                </c:pt>
                <c:pt idx="347">
                  <c:v>40.4</c:v>
                </c:pt>
                <c:pt idx="348">
                  <c:v>18.2</c:v>
                </c:pt>
                <c:pt idx="349">
                  <c:v>37.82</c:v>
                </c:pt>
                <c:pt idx="350">
                  <c:v>37.72</c:v>
                </c:pt>
                <c:pt idx="351">
                  <c:v>52.89</c:v>
                </c:pt>
                <c:pt idx="352">
                  <c:v>3.29</c:v>
                </c:pt>
                <c:pt idx="353">
                  <c:v>26.7</c:v>
                </c:pt>
                <c:pt idx="354">
                  <c:v>20.37</c:v>
                </c:pt>
                <c:pt idx="355">
                  <c:v>16.36</c:v>
                </c:pt>
                <c:pt idx="356">
                  <c:v>30.88</c:v>
                </c:pt>
                <c:pt idx="357">
                  <c:v>40.44</c:v>
                </c:pt>
                <c:pt idx="358">
                  <c:v>48.72</c:v>
                </c:pt>
                <c:pt idx="359">
                  <c:v>36.36</c:v>
                </c:pt>
              </c:numCache>
            </c:numRef>
          </c:xVal>
          <c:yVal>
            <c:numRef>
              <c:f>Cleaned_Dataset!$L$2:$L$361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2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2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2</c:v>
                </c:pt>
                <c:pt idx="79">
                  <c:v>1</c:v>
                </c:pt>
                <c:pt idx="80">
                  <c:v>3</c:v>
                </c:pt>
                <c:pt idx="81">
                  <c:v>0</c:v>
                </c:pt>
                <c:pt idx="82">
                  <c:v>1</c:v>
                </c:pt>
                <c:pt idx="83">
                  <c:v>2</c:v>
                </c:pt>
                <c:pt idx="84">
                  <c:v>2</c:v>
                </c:pt>
                <c:pt idx="85">
                  <c:v>0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2</c:v>
                </c:pt>
                <c:pt idx="111">
                  <c:v>3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3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2</c:v>
                </c:pt>
                <c:pt idx="147">
                  <c:v>0</c:v>
                </c:pt>
                <c:pt idx="148">
                  <c:v>1</c:v>
                </c:pt>
                <c:pt idx="149">
                  <c:v>2</c:v>
                </c:pt>
                <c:pt idx="150">
                  <c:v>0</c:v>
                </c:pt>
                <c:pt idx="151">
                  <c:v>4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3</c:v>
                </c:pt>
                <c:pt idx="165">
                  <c:v>2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3</c:v>
                </c:pt>
                <c:pt idx="170">
                  <c:v>0</c:v>
                </c:pt>
                <c:pt idx="171">
                  <c:v>2</c:v>
                </c:pt>
                <c:pt idx="172">
                  <c:v>0</c:v>
                </c:pt>
                <c:pt idx="173">
                  <c:v>1</c:v>
                </c:pt>
                <c:pt idx="174">
                  <c:v>2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3</c:v>
                </c:pt>
                <c:pt idx="183">
                  <c:v>0</c:v>
                </c:pt>
                <c:pt idx="184">
                  <c:v>1</c:v>
                </c:pt>
                <c:pt idx="185">
                  <c:v>2</c:v>
                </c:pt>
                <c:pt idx="186">
                  <c:v>1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2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1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2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2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2</c:v>
                </c:pt>
                <c:pt idx="212">
                  <c:v>1</c:v>
                </c:pt>
                <c:pt idx="213">
                  <c:v>1</c:v>
                </c:pt>
                <c:pt idx="214">
                  <c:v>0</c:v>
                </c:pt>
                <c:pt idx="215">
                  <c:v>3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2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4</c:v>
                </c:pt>
                <c:pt idx="230">
                  <c:v>1</c:v>
                </c:pt>
                <c:pt idx="231">
                  <c:v>2</c:v>
                </c:pt>
                <c:pt idx="232">
                  <c:v>2</c:v>
                </c:pt>
                <c:pt idx="233">
                  <c:v>3</c:v>
                </c:pt>
                <c:pt idx="234">
                  <c:v>1</c:v>
                </c:pt>
                <c:pt idx="235">
                  <c:v>0</c:v>
                </c:pt>
                <c:pt idx="236">
                  <c:v>2</c:v>
                </c:pt>
                <c:pt idx="237">
                  <c:v>1</c:v>
                </c:pt>
                <c:pt idx="238">
                  <c:v>2</c:v>
                </c:pt>
                <c:pt idx="239">
                  <c:v>0</c:v>
                </c:pt>
                <c:pt idx="240">
                  <c:v>0</c:v>
                </c:pt>
                <c:pt idx="241">
                  <c:v>3</c:v>
                </c:pt>
                <c:pt idx="242">
                  <c:v>1</c:v>
                </c:pt>
                <c:pt idx="243">
                  <c:v>4</c:v>
                </c:pt>
                <c:pt idx="244">
                  <c:v>0</c:v>
                </c:pt>
                <c:pt idx="245">
                  <c:v>0</c:v>
                </c:pt>
                <c:pt idx="246">
                  <c:v>2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0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1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4</c:v>
                </c:pt>
                <c:pt idx="276">
                  <c:v>0</c:v>
                </c:pt>
                <c:pt idx="277">
                  <c:v>3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3</c:v>
                </c:pt>
                <c:pt idx="284">
                  <c:v>0</c:v>
                </c:pt>
                <c:pt idx="285">
                  <c:v>2</c:v>
                </c:pt>
                <c:pt idx="286">
                  <c:v>2</c:v>
                </c:pt>
                <c:pt idx="287">
                  <c:v>0</c:v>
                </c:pt>
                <c:pt idx="288">
                  <c:v>2</c:v>
                </c:pt>
                <c:pt idx="289">
                  <c:v>5</c:v>
                </c:pt>
                <c:pt idx="290">
                  <c:v>1</c:v>
                </c:pt>
                <c:pt idx="291">
                  <c:v>3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3</c:v>
                </c:pt>
                <c:pt idx="298">
                  <c:v>0</c:v>
                </c:pt>
                <c:pt idx="299">
                  <c:v>1</c:v>
                </c:pt>
                <c:pt idx="300">
                  <c:v>1</c:v>
                </c:pt>
                <c:pt idx="301">
                  <c:v>4</c:v>
                </c:pt>
                <c:pt idx="302">
                  <c:v>0</c:v>
                </c:pt>
                <c:pt idx="303">
                  <c:v>1</c:v>
                </c:pt>
                <c:pt idx="304">
                  <c:v>1</c:v>
                </c:pt>
                <c:pt idx="305">
                  <c:v>2</c:v>
                </c:pt>
                <c:pt idx="306">
                  <c:v>0</c:v>
                </c:pt>
                <c:pt idx="307">
                  <c:v>1</c:v>
                </c:pt>
                <c:pt idx="308">
                  <c:v>1</c:v>
                </c:pt>
                <c:pt idx="309">
                  <c:v>3</c:v>
                </c:pt>
                <c:pt idx="310">
                  <c:v>2</c:v>
                </c:pt>
                <c:pt idx="311">
                  <c:v>1</c:v>
                </c:pt>
                <c:pt idx="312">
                  <c:v>4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1</c:v>
                </c:pt>
                <c:pt idx="318">
                  <c:v>5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3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2</c:v>
                </c:pt>
                <c:pt idx="327">
                  <c:v>0</c:v>
                </c:pt>
                <c:pt idx="328">
                  <c:v>1</c:v>
                </c:pt>
                <c:pt idx="329">
                  <c:v>2</c:v>
                </c:pt>
                <c:pt idx="330">
                  <c:v>2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3</c:v>
                </c:pt>
                <c:pt idx="335">
                  <c:v>1</c:v>
                </c:pt>
                <c:pt idx="336">
                  <c:v>1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4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3</c:v>
                </c:pt>
                <c:pt idx="352">
                  <c:v>1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1</c:v>
                </c:pt>
                <c:pt idx="357">
                  <c:v>4</c:v>
                </c:pt>
                <c:pt idx="358">
                  <c:v>1</c:v>
                </c:pt>
                <c:pt idx="3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F1-4AEC-8EDE-5E31C064C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912863"/>
        <c:axId val="115510651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Cleaned_Dataset!$G$1</c15:sqref>
                        </c15:formulaRef>
                      </c:ext>
                    </c:extLst>
                    <c:strCache>
                      <c:ptCount val="1"/>
                      <c:pt idx="0">
                        <c:v>complexity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Cleaned_Dataset!$G$2:$G$361</c15:sqref>
                        </c15:formulaRef>
                      </c:ext>
                    </c:extLst>
                    <c:numCache>
                      <c:formatCode>General</c:formatCode>
                      <c:ptCount val="360"/>
                      <c:pt idx="0">
                        <c:v>29.57</c:v>
                      </c:pt>
                      <c:pt idx="1">
                        <c:v>36.659999999999997</c:v>
                      </c:pt>
                      <c:pt idx="2">
                        <c:v>29.94</c:v>
                      </c:pt>
                      <c:pt idx="3">
                        <c:v>44.45</c:v>
                      </c:pt>
                      <c:pt idx="4">
                        <c:v>37.18</c:v>
                      </c:pt>
                      <c:pt idx="5">
                        <c:v>20.68</c:v>
                      </c:pt>
                      <c:pt idx="6">
                        <c:v>8.76</c:v>
                      </c:pt>
                      <c:pt idx="7">
                        <c:v>9.08</c:v>
                      </c:pt>
                      <c:pt idx="8">
                        <c:v>18.86</c:v>
                      </c:pt>
                      <c:pt idx="9">
                        <c:v>37.369999999999997</c:v>
                      </c:pt>
                      <c:pt idx="10">
                        <c:v>38.270000000000003</c:v>
                      </c:pt>
                      <c:pt idx="11">
                        <c:v>37.950000000000003</c:v>
                      </c:pt>
                      <c:pt idx="12">
                        <c:v>16.649999999999999</c:v>
                      </c:pt>
                      <c:pt idx="13">
                        <c:v>23.56</c:v>
                      </c:pt>
                      <c:pt idx="14">
                        <c:v>19.48</c:v>
                      </c:pt>
                      <c:pt idx="15">
                        <c:v>27.88</c:v>
                      </c:pt>
                      <c:pt idx="16">
                        <c:v>30.36</c:v>
                      </c:pt>
                      <c:pt idx="17">
                        <c:v>10.75</c:v>
                      </c:pt>
                      <c:pt idx="18">
                        <c:v>38.64</c:v>
                      </c:pt>
                      <c:pt idx="19">
                        <c:v>27.93</c:v>
                      </c:pt>
                      <c:pt idx="20">
                        <c:v>33.950000000000003</c:v>
                      </c:pt>
                      <c:pt idx="21">
                        <c:v>32.25</c:v>
                      </c:pt>
                      <c:pt idx="22">
                        <c:v>18.239999999999998</c:v>
                      </c:pt>
                      <c:pt idx="23">
                        <c:v>31.88</c:v>
                      </c:pt>
                      <c:pt idx="24">
                        <c:v>10.66</c:v>
                      </c:pt>
                      <c:pt idx="25">
                        <c:v>24.24</c:v>
                      </c:pt>
                      <c:pt idx="26">
                        <c:v>45.06</c:v>
                      </c:pt>
                      <c:pt idx="27">
                        <c:v>9.9499999999999993</c:v>
                      </c:pt>
                      <c:pt idx="28">
                        <c:v>27.39</c:v>
                      </c:pt>
                      <c:pt idx="29">
                        <c:v>40.42</c:v>
                      </c:pt>
                      <c:pt idx="30">
                        <c:v>17.64</c:v>
                      </c:pt>
                      <c:pt idx="31">
                        <c:v>42.7</c:v>
                      </c:pt>
                      <c:pt idx="32">
                        <c:v>45.18</c:v>
                      </c:pt>
                      <c:pt idx="33">
                        <c:v>6.16</c:v>
                      </c:pt>
                      <c:pt idx="34">
                        <c:v>27.57</c:v>
                      </c:pt>
                      <c:pt idx="35">
                        <c:v>31.215</c:v>
                      </c:pt>
                      <c:pt idx="36">
                        <c:v>23.13</c:v>
                      </c:pt>
                      <c:pt idx="37">
                        <c:v>22.92</c:v>
                      </c:pt>
                      <c:pt idx="38">
                        <c:v>28.18</c:v>
                      </c:pt>
                      <c:pt idx="39">
                        <c:v>33.61</c:v>
                      </c:pt>
                      <c:pt idx="40">
                        <c:v>22.88</c:v>
                      </c:pt>
                      <c:pt idx="41">
                        <c:v>50.62</c:v>
                      </c:pt>
                      <c:pt idx="42">
                        <c:v>32.909999999999997</c:v>
                      </c:pt>
                      <c:pt idx="43">
                        <c:v>47.24</c:v>
                      </c:pt>
                      <c:pt idx="44">
                        <c:v>17.39</c:v>
                      </c:pt>
                      <c:pt idx="45">
                        <c:v>5.14</c:v>
                      </c:pt>
                      <c:pt idx="46">
                        <c:v>29.25</c:v>
                      </c:pt>
                      <c:pt idx="47">
                        <c:v>42.82</c:v>
                      </c:pt>
                      <c:pt idx="48">
                        <c:v>10.79</c:v>
                      </c:pt>
                      <c:pt idx="49">
                        <c:v>41.4</c:v>
                      </c:pt>
                      <c:pt idx="51">
                        <c:v>46.36</c:v>
                      </c:pt>
                      <c:pt idx="52">
                        <c:v>4.45</c:v>
                      </c:pt>
                      <c:pt idx="53">
                        <c:v>31.94</c:v>
                      </c:pt>
                      <c:pt idx="54">
                        <c:v>22.98</c:v>
                      </c:pt>
                      <c:pt idx="55">
                        <c:v>20.260000000000002</c:v>
                      </c:pt>
                      <c:pt idx="56">
                        <c:v>27.07</c:v>
                      </c:pt>
                      <c:pt idx="57">
                        <c:v>41.49</c:v>
                      </c:pt>
                      <c:pt idx="58">
                        <c:v>54.9</c:v>
                      </c:pt>
                      <c:pt idx="59">
                        <c:v>27.43</c:v>
                      </c:pt>
                      <c:pt idx="60">
                        <c:v>24.46</c:v>
                      </c:pt>
                      <c:pt idx="61">
                        <c:v>48.56</c:v>
                      </c:pt>
                      <c:pt idx="62">
                        <c:v>41.76</c:v>
                      </c:pt>
                      <c:pt idx="63">
                        <c:v>39.979999999999997</c:v>
                      </c:pt>
                      <c:pt idx="64">
                        <c:v>46.79</c:v>
                      </c:pt>
                      <c:pt idx="65">
                        <c:v>28.59</c:v>
                      </c:pt>
                      <c:pt idx="66">
                        <c:v>17.170000000000002</c:v>
                      </c:pt>
                      <c:pt idx="67">
                        <c:v>1</c:v>
                      </c:pt>
                      <c:pt idx="68">
                        <c:v>24.34</c:v>
                      </c:pt>
                      <c:pt idx="69">
                        <c:v>42.76</c:v>
                      </c:pt>
                      <c:pt idx="70">
                        <c:v>48.88</c:v>
                      </c:pt>
                      <c:pt idx="71">
                        <c:v>36.33</c:v>
                      </c:pt>
                      <c:pt idx="72">
                        <c:v>22.52</c:v>
                      </c:pt>
                      <c:pt idx="73">
                        <c:v>19.07</c:v>
                      </c:pt>
                      <c:pt idx="74">
                        <c:v>13.2</c:v>
                      </c:pt>
                      <c:pt idx="75">
                        <c:v>25.52</c:v>
                      </c:pt>
                      <c:pt idx="76">
                        <c:v>31.56</c:v>
                      </c:pt>
                      <c:pt idx="77">
                        <c:v>14.6</c:v>
                      </c:pt>
                      <c:pt idx="78">
                        <c:v>35.229999999999997</c:v>
                      </c:pt>
                      <c:pt idx="79">
                        <c:v>33.61</c:v>
                      </c:pt>
                      <c:pt idx="80">
                        <c:v>43.29</c:v>
                      </c:pt>
                      <c:pt idx="81">
                        <c:v>28.83</c:v>
                      </c:pt>
                      <c:pt idx="82">
                        <c:v>16.760000000000002</c:v>
                      </c:pt>
                      <c:pt idx="83">
                        <c:v>30</c:v>
                      </c:pt>
                      <c:pt idx="84">
                        <c:v>19.420000000000002</c:v>
                      </c:pt>
                      <c:pt idx="85">
                        <c:v>21.09</c:v>
                      </c:pt>
                      <c:pt idx="86">
                        <c:v>47.96</c:v>
                      </c:pt>
                      <c:pt idx="87">
                        <c:v>15.57</c:v>
                      </c:pt>
                      <c:pt idx="88">
                        <c:v>20.74</c:v>
                      </c:pt>
                      <c:pt idx="89">
                        <c:v>46.76</c:v>
                      </c:pt>
                      <c:pt idx="90">
                        <c:v>27.78</c:v>
                      </c:pt>
                      <c:pt idx="91">
                        <c:v>51.36</c:v>
                      </c:pt>
                      <c:pt idx="92">
                        <c:v>40</c:v>
                      </c:pt>
                      <c:pt idx="93">
                        <c:v>14.77</c:v>
                      </c:pt>
                      <c:pt idx="94">
                        <c:v>24.7</c:v>
                      </c:pt>
                      <c:pt idx="95">
                        <c:v>45.34</c:v>
                      </c:pt>
                      <c:pt idx="96">
                        <c:v>25.71</c:v>
                      </c:pt>
                      <c:pt idx="97">
                        <c:v>28.57</c:v>
                      </c:pt>
                      <c:pt idx="98">
                        <c:v>40.65</c:v>
                      </c:pt>
                      <c:pt idx="99">
                        <c:v>41.28</c:v>
                      </c:pt>
                      <c:pt idx="100">
                        <c:v>23.9</c:v>
                      </c:pt>
                      <c:pt idx="101">
                        <c:v>44.34</c:v>
                      </c:pt>
                      <c:pt idx="102">
                        <c:v>26.2</c:v>
                      </c:pt>
                      <c:pt idx="103">
                        <c:v>42.09</c:v>
                      </c:pt>
                      <c:pt idx="104">
                        <c:v>24.97</c:v>
                      </c:pt>
                      <c:pt idx="105">
                        <c:v>17.09</c:v>
                      </c:pt>
                      <c:pt idx="106">
                        <c:v>40.1</c:v>
                      </c:pt>
                      <c:pt idx="107">
                        <c:v>48.84</c:v>
                      </c:pt>
                      <c:pt idx="108">
                        <c:v>5.19</c:v>
                      </c:pt>
                      <c:pt idx="109">
                        <c:v>40.1</c:v>
                      </c:pt>
                      <c:pt idx="110">
                        <c:v>30.63</c:v>
                      </c:pt>
                      <c:pt idx="111">
                        <c:v>45.65</c:v>
                      </c:pt>
                      <c:pt idx="112">
                        <c:v>4.9000000000000004</c:v>
                      </c:pt>
                      <c:pt idx="113">
                        <c:v>28.46</c:v>
                      </c:pt>
                      <c:pt idx="114">
                        <c:v>9.58</c:v>
                      </c:pt>
                      <c:pt idx="115">
                        <c:v>5.01</c:v>
                      </c:pt>
                      <c:pt idx="116">
                        <c:v>34.75</c:v>
                      </c:pt>
                      <c:pt idx="117">
                        <c:v>34.03</c:v>
                      </c:pt>
                      <c:pt idx="118">
                        <c:v>44.04</c:v>
                      </c:pt>
                      <c:pt idx="119">
                        <c:v>27.25</c:v>
                      </c:pt>
                      <c:pt idx="120">
                        <c:v>68.639999999999901</c:v>
                      </c:pt>
                      <c:pt idx="121">
                        <c:v>49.94</c:v>
                      </c:pt>
                      <c:pt idx="122">
                        <c:v>37.76</c:v>
                      </c:pt>
                      <c:pt idx="123">
                        <c:v>47.37</c:v>
                      </c:pt>
                      <c:pt idx="124">
                        <c:v>38.450000000000003</c:v>
                      </c:pt>
                      <c:pt idx="125">
                        <c:v>36.03</c:v>
                      </c:pt>
                      <c:pt idx="126">
                        <c:v>22.42</c:v>
                      </c:pt>
                      <c:pt idx="127">
                        <c:v>8.89</c:v>
                      </c:pt>
                      <c:pt idx="128">
                        <c:v>18.899999999999999</c:v>
                      </c:pt>
                      <c:pt idx="129">
                        <c:v>34.659999999999997</c:v>
                      </c:pt>
                      <c:pt idx="130">
                        <c:v>37.1</c:v>
                      </c:pt>
                      <c:pt idx="131">
                        <c:v>38.44</c:v>
                      </c:pt>
                      <c:pt idx="132">
                        <c:v>27.77</c:v>
                      </c:pt>
                      <c:pt idx="133">
                        <c:v>17.82</c:v>
                      </c:pt>
                      <c:pt idx="134">
                        <c:v>19.68</c:v>
                      </c:pt>
                      <c:pt idx="135">
                        <c:v>29.07</c:v>
                      </c:pt>
                      <c:pt idx="136">
                        <c:v>40.869999999999997</c:v>
                      </c:pt>
                      <c:pt idx="137">
                        <c:v>16.440000000000001</c:v>
                      </c:pt>
                      <c:pt idx="138">
                        <c:v>41.68</c:v>
                      </c:pt>
                      <c:pt idx="139">
                        <c:v>32.57</c:v>
                      </c:pt>
                      <c:pt idx="140">
                        <c:v>40.93</c:v>
                      </c:pt>
                      <c:pt idx="141">
                        <c:v>41.74</c:v>
                      </c:pt>
                      <c:pt idx="142">
                        <c:v>17.87</c:v>
                      </c:pt>
                      <c:pt idx="143">
                        <c:v>31.15</c:v>
                      </c:pt>
                      <c:pt idx="144">
                        <c:v>26.01</c:v>
                      </c:pt>
                      <c:pt idx="145">
                        <c:v>25.74</c:v>
                      </c:pt>
                      <c:pt idx="146">
                        <c:v>40.369999999999997</c:v>
                      </c:pt>
                      <c:pt idx="147">
                        <c:v>14.32</c:v>
                      </c:pt>
                      <c:pt idx="148">
                        <c:v>25.3</c:v>
                      </c:pt>
                      <c:pt idx="149">
                        <c:v>32.93</c:v>
                      </c:pt>
                      <c:pt idx="150">
                        <c:v>39.14</c:v>
                      </c:pt>
                      <c:pt idx="151">
                        <c:v>40.58</c:v>
                      </c:pt>
                      <c:pt idx="152">
                        <c:v>46.89</c:v>
                      </c:pt>
                      <c:pt idx="153">
                        <c:v>14.5</c:v>
                      </c:pt>
                      <c:pt idx="154">
                        <c:v>34.26</c:v>
                      </c:pt>
                      <c:pt idx="155">
                        <c:v>35.5</c:v>
                      </c:pt>
                      <c:pt idx="156">
                        <c:v>31.92</c:v>
                      </c:pt>
                      <c:pt idx="157">
                        <c:v>20.49</c:v>
                      </c:pt>
                      <c:pt idx="158">
                        <c:v>28.83</c:v>
                      </c:pt>
                      <c:pt idx="159">
                        <c:v>37</c:v>
                      </c:pt>
                      <c:pt idx="160">
                        <c:v>31.41</c:v>
                      </c:pt>
                      <c:pt idx="161">
                        <c:v>40.9</c:v>
                      </c:pt>
                      <c:pt idx="162">
                        <c:v>37.74</c:v>
                      </c:pt>
                      <c:pt idx="163">
                        <c:v>43.53</c:v>
                      </c:pt>
                      <c:pt idx="164">
                        <c:v>29.5</c:v>
                      </c:pt>
                      <c:pt idx="165">
                        <c:v>21.79</c:v>
                      </c:pt>
                      <c:pt idx="166">
                        <c:v>23.43</c:v>
                      </c:pt>
                      <c:pt idx="167">
                        <c:v>39.549999999999997</c:v>
                      </c:pt>
                      <c:pt idx="168">
                        <c:v>19.510000000000002</c:v>
                      </c:pt>
                      <c:pt idx="169">
                        <c:v>42.31</c:v>
                      </c:pt>
                      <c:pt idx="170">
                        <c:v>32.79</c:v>
                      </c:pt>
                      <c:pt idx="171">
                        <c:v>42.11</c:v>
                      </c:pt>
                      <c:pt idx="172">
                        <c:v>12.01</c:v>
                      </c:pt>
                      <c:pt idx="173">
                        <c:v>28.03</c:v>
                      </c:pt>
                      <c:pt idx="174">
                        <c:v>16.34</c:v>
                      </c:pt>
                      <c:pt idx="175">
                        <c:v>14.06</c:v>
                      </c:pt>
                      <c:pt idx="176">
                        <c:v>27.29</c:v>
                      </c:pt>
                      <c:pt idx="177">
                        <c:v>42.21</c:v>
                      </c:pt>
                      <c:pt idx="178">
                        <c:v>58.27</c:v>
                      </c:pt>
                      <c:pt idx="179">
                        <c:v>39.22</c:v>
                      </c:pt>
                      <c:pt idx="180">
                        <c:v>20.309999999999999</c:v>
                      </c:pt>
                      <c:pt idx="181">
                        <c:v>31.29</c:v>
                      </c:pt>
                      <c:pt idx="182">
                        <c:v>37.99</c:v>
                      </c:pt>
                      <c:pt idx="183">
                        <c:v>36.89</c:v>
                      </c:pt>
                      <c:pt idx="184">
                        <c:v>40.270000000000003</c:v>
                      </c:pt>
                      <c:pt idx="185">
                        <c:v>28.39</c:v>
                      </c:pt>
                      <c:pt idx="186">
                        <c:v>19.52</c:v>
                      </c:pt>
                      <c:pt idx="187">
                        <c:v>11.72</c:v>
                      </c:pt>
                      <c:pt idx="188">
                        <c:v>21.83</c:v>
                      </c:pt>
                      <c:pt idx="189">
                        <c:v>36.6</c:v>
                      </c:pt>
                      <c:pt idx="190">
                        <c:v>46.38</c:v>
                      </c:pt>
                      <c:pt idx="191">
                        <c:v>45.85</c:v>
                      </c:pt>
                      <c:pt idx="192">
                        <c:v>13.63</c:v>
                      </c:pt>
                      <c:pt idx="193">
                        <c:v>16.36</c:v>
                      </c:pt>
                      <c:pt idx="194">
                        <c:v>17.93</c:v>
                      </c:pt>
                      <c:pt idx="195">
                        <c:v>24.56</c:v>
                      </c:pt>
                      <c:pt idx="196">
                        <c:v>33.21</c:v>
                      </c:pt>
                      <c:pt idx="197">
                        <c:v>23.37</c:v>
                      </c:pt>
                      <c:pt idx="198">
                        <c:v>32.61</c:v>
                      </c:pt>
                      <c:pt idx="199">
                        <c:v>27.37</c:v>
                      </c:pt>
                      <c:pt idx="200">
                        <c:v>35</c:v>
                      </c:pt>
                      <c:pt idx="201">
                        <c:v>31.68</c:v>
                      </c:pt>
                      <c:pt idx="202">
                        <c:v>10.32</c:v>
                      </c:pt>
                      <c:pt idx="203">
                        <c:v>25.87</c:v>
                      </c:pt>
                      <c:pt idx="204">
                        <c:v>18.920000000000002</c:v>
                      </c:pt>
                      <c:pt idx="205">
                        <c:v>26.78</c:v>
                      </c:pt>
                      <c:pt idx="206">
                        <c:v>48.32</c:v>
                      </c:pt>
                      <c:pt idx="207">
                        <c:v>11.12</c:v>
                      </c:pt>
                      <c:pt idx="208">
                        <c:v>21.72</c:v>
                      </c:pt>
                      <c:pt idx="209">
                        <c:v>44.09</c:v>
                      </c:pt>
                      <c:pt idx="210">
                        <c:v>32.49</c:v>
                      </c:pt>
                      <c:pt idx="211">
                        <c:v>52.06</c:v>
                      </c:pt>
                      <c:pt idx="212">
                        <c:v>32.97</c:v>
                      </c:pt>
                      <c:pt idx="213">
                        <c:v>3.09</c:v>
                      </c:pt>
                      <c:pt idx="214">
                        <c:v>31.58</c:v>
                      </c:pt>
                      <c:pt idx="215">
                        <c:v>35.79</c:v>
                      </c:pt>
                      <c:pt idx="216">
                        <c:v>37.56</c:v>
                      </c:pt>
                      <c:pt idx="217">
                        <c:v>16.73</c:v>
                      </c:pt>
                      <c:pt idx="218">
                        <c:v>36.08</c:v>
                      </c:pt>
                      <c:pt idx="219">
                        <c:v>27.27</c:v>
                      </c:pt>
                      <c:pt idx="220">
                        <c:v>28.37</c:v>
                      </c:pt>
                      <c:pt idx="221">
                        <c:v>50.72</c:v>
                      </c:pt>
                      <c:pt idx="222">
                        <c:v>24.47</c:v>
                      </c:pt>
                      <c:pt idx="223">
                        <c:v>49.51</c:v>
                      </c:pt>
                      <c:pt idx="224">
                        <c:v>20.260000000000002</c:v>
                      </c:pt>
                      <c:pt idx="225">
                        <c:v>10.97</c:v>
                      </c:pt>
                      <c:pt idx="226">
                        <c:v>40.770000000000003</c:v>
                      </c:pt>
                      <c:pt idx="227">
                        <c:v>36.44</c:v>
                      </c:pt>
                      <c:pt idx="228">
                        <c:v>13.28</c:v>
                      </c:pt>
                      <c:pt idx="229">
                        <c:v>39.090000000000003</c:v>
                      </c:pt>
                      <c:pt idx="230">
                        <c:v>19.899999999999999</c:v>
                      </c:pt>
                      <c:pt idx="231">
                        <c:v>44.42</c:v>
                      </c:pt>
                      <c:pt idx="232">
                        <c:v>9.86</c:v>
                      </c:pt>
                      <c:pt idx="233">
                        <c:v>25.33</c:v>
                      </c:pt>
                      <c:pt idx="234">
                        <c:v>20.12</c:v>
                      </c:pt>
                      <c:pt idx="235">
                        <c:v>11.99</c:v>
                      </c:pt>
                      <c:pt idx="236">
                        <c:v>34.770000000000003</c:v>
                      </c:pt>
                      <c:pt idx="237">
                        <c:v>48.02</c:v>
                      </c:pt>
                      <c:pt idx="238">
                        <c:v>51.63</c:v>
                      </c:pt>
                      <c:pt idx="239">
                        <c:v>39.04</c:v>
                      </c:pt>
                      <c:pt idx="240">
                        <c:v>29.17</c:v>
                      </c:pt>
                      <c:pt idx="241">
                        <c:v>44.8</c:v>
                      </c:pt>
                      <c:pt idx="242">
                        <c:v>34.18</c:v>
                      </c:pt>
                      <c:pt idx="243">
                        <c:v>47.81</c:v>
                      </c:pt>
                      <c:pt idx="244">
                        <c:v>42.58</c:v>
                      </c:pt>
                      <c:pt idx="245">
                        <c:v>32.130000000000003</c:v>
                      </c:pt>
                      <c:pt idx="246">
                        <c:v>19.7</c:v>
                      </c:pt>
                      <c:pt idx="247">
                        <c:v>21.04</c:v>
                      </c:pt>
                      <c:pt idx="248">
                        <c:v>17.32</c:v>
                      </c:pt>
                      <c:pt idx="249">
                        <c:v>38.17</c:v>
                      </c:pt>
                      <c:pt idx="250">
                        <c:v>37.31</c:v>
                      </c:pt>
                      <c:pt idx="251">
                        <c:v>34.67</c:v>
                      </c:pt>
                      <c:pt idx="252">
                        <c:v>22.96</c:v>
                      </c:pt>
                      <c:pt idx="253">
                        <c:v>26.82</c:v>
                      </c:pt>
                      <c:pt idx="254">
                        <c:v>4.8099999999999996</c:v>
                      </c:pt>
                      <c:pt idx="255">
                        <c:v>27.82</c:v>
                      </c:pt>
                      <c:pt idx="256">
                        <c:v>36.24</c:v>
                      </c:pt>
                      <c:pt idx="257">
                        <c:v>12.05</c:v>
                      </c:pt>
                      <c:pt idx="258">
                        <c:v>34.299999999999997</c:v>
                      </c:pt>
                      <c:pt idx="259">
                        <c:v>38.85</c:v>
                      </c:pt>
                      <c:pt idx="260">
                        <c:v>29.86</c:v>
                      </c:pt>
                      <c:pt idx="261">
                        <c:v>38.79</c:v>
                      </c:pt>
                      <c:pt idx="262">
                        <c:v>13.33</c:v>
                      </c:pt>
                      <c:pt idx="263">
                        <c:v>37.74</c:v>
                      </c:pt>
                      <c:pt idx="264">
                        <c:v>19.34</c:v>
                      </c:pt>
                      <c:pt idx="265">
                        <c:v>32.58</c:v>
                      </c:pt>
                      <c:pt idx="266">
                        <c:v>53.69</c:v>
                      </c:pt>
                      <c:pt idx="267">
                        <c:v>14.83</c:v>
                      </c:pt>
                      <c:pt idx="268">
                        <c:v>31.28</c:v>
                      </c:pt>
                      <c:pt idx="269">
                        <c:v>33.21</c:v>
                      </c:pt>
                      <c:pt idx="270">
                        <c:v>40.340000000000003</c:v>
                      </c:pt>
                      <c:pt idx="271">
                        <c:v>40</c:v>
                      </c:pt>
                      <c:pt idx="272">
                        <c:v>38</c:v>
                      </c:pt>
                      <c:pt idx="273">
                        <c:v>13.16</c:v>
                      </c:pt>
                      <c:pt idx="274">
                        <c:v>26.24</c:v>
                      </c:pt>
                      <c:pt idx="275">
                        <c:v>43.25</c:v>
                      </c:pt>
                      <c:pt idx="276">
                        <c:v>23.72</c:v>
                      </c:pt>
                      <c:pt idx="277">
                        <c:v>27.97</c:v>
                      </c:pt>
                      <c:pt idx="278">
                        <c:v>35.24</c:v>
                      </c:pt>
                      <c:pt idx="279">
                        <c:v>29.69</c:v>
                      </c:pt>
                      <c:pt idx="280">
                        <c:v>23.65</c:v>
                      </c:pt>
                      <c:pt idx="281">
                        <c:v>37.020000000000003</c:v>
                      </c:pt>
                      <c:pt idx="282">
                        <c:v>33.42</c:v>
                      </c:pt>
                      <c:pt idx="283">
                        <c:v>48.77</c:v>
                      </c:pt>
                      <c:pt idx="284">
                        <c:v>29.18</c:v>
                      </c:pt>
                      <c:pt idx="285">
                        <c:v>5</c:v>
                      </c:pt>
                      <c:pt idx="286">
                        <c:v>42.62</c:v>
                      </c:pt>
                      <c:pt idx="287">
                        <c:v>45.17</c:v>
                      </c:pt>
                      <c:pt idx="288">
                        <c:v>9.2100000000000009</c:v>
                      </c:pt>
                      <c:pt idx="289">
                        <c:v>41.55</c:v>
                      </c:pt>
                      <c:pt idx="290">
                        <c:v>37.68</c:v>
                      </c:pt>
                      <c:pt idx="291">
                        <c:v>42.67</c:v>
                      </c:pt>
                      <c:pt idx="292">
                        <c:v>2.2200000000000002</c:v>
                      </c:pt>
                      <c:pt idx="293">
                        <c:v>21.72</c:v>
                      </c:pt>
                      <c:pt idx="294">
                        <c:v>19.7</c:v>
                      </c:pt>
                      <c:pt idx="295">
                        <c:v>16.84</c:v>
                      </c:pt>
                      <c:pt idx="296">
                        <c:v>37.799999999999997</c:v>
                      </c:pt>
                      <c:pt idx="297">
                        <c:v>46.92</c:v>
                      </c:pt>
                      <c:pt idx="298">
                        <c:v>41.48</c:v>
                      </c:pt>
                      <c:pt idx="299">
                        <c:v>29.47</c:v>
                      </c:pt>
                      <c:pt idx="300">
                        <c:v>24.44</c:v>
                      </c:pt>
                      <c:pt idx="301">
                        <c:v>40.01</c:v>
                      </c:pt>
                      <c:pt idx="302">
                        <c:v>34.33</c:v>
                      </c:pt>
                      <c:pt idx="303">
                        <c:v>48.27</c:v>
                      </c:pt>
                      <c:pt idx="304">
                        <c:v>37.880000000000003</c:v>
                      </c:pt>
                      <c:pt idx="305">
                        <c:v>26.24</c:v>
                      </c:pt>
                      <c:pt idx="306">
                        <c:v>13.9</c:v>
                      </c:pt>
                      <c:pt idx="307">
                        <c:v>6.64</c:v>
                      </c:pt>
                      <c:pt idx="308">
                        <c:v>19.04</c:v>
                      </c:pt>
                      <c:pt idx="309">
                        <c:v>39.299999999999997</c:v>
                      </c:pt>
                      <c:pt idx="310">
                        <c:v>45.55</c:v>
                      </c:pt>
                      <c:pt idx="311">
                        <c:v>45.46</c:v>
                      </c:pt>
                      <c:pt idx="312">
                        <c:v>21.81</c:v>
                      </c:pt>
                      <c:pt idx="313">
                        <c:v>24.91</c:v>
                      </c:pt>
                      <c:pt idx="314">
                        <c:v>3.88</c:v>
                      </c:pt>
                      <c:pt idx="315">
                        <c:v>32.31</c:v>
                      </c:pt>
                      <c:pt idx="316">
                        <c:v>27.67</c:v>
                      </c:pt>
                      <c:pt idx="317">
                        <c:v>12.39</c:v>
                      </c:pt>
                      <c:pt idx="318">
                        <c:v>32.700000000000003</c:v>
                      </c:pt>
                      <c:pt idx="319">
                        <c:v>31.51</c:v>
                      </c:pt>
                      <c:pt idx="320">
                        <c:v>48.55</c:v>
                      </c:pt>
                      <c:pt idx="321">
                        <c:v>39.54</c:v>
                      </c:pt>
                      <c:pt idx="322">
                        <c:v>14.93</c:v>
                      </c:pt>
                      <c:pt idx="323">
                        <c:v>36.1</c:v>
                      </c:pt>
                      <c:pt idx="324">
                        <c:v>31.47</c:v>
                      </c:pt>
                      <c:pt idx="325">
                        <c:v>21.91</c:v>
                      </c:pt>
                      <c:pt idx="326">
                        <c:v>36.46</c:v>
                      </c:pt>
                      <c:pt idx="327">
                        <c:v>14.01</c:v>
                      </c:pt>
                      <c:pt idx="328">
                        <c:v>26.2</c:v>
                      </c:pt>
                      <c:pt idx="329">
                        <c:v>44.98</c:v>
                      </c:pt>
                      <c:pt idx="330">
                        <c:v>25.77</c:v>
                      </c:pt>
                      <c:pt idx="331">
                        <c:v>47.3</c:v>
                      </c:pt>
                      <c:pt idx="332">
                        <c:v>46.73</c:v>
                      </c:pt>
                      <c:pt idx="333">
                        <c:v>5.23</c:v>
                      </c:pt>
                      <c:pt idx="334">
                        <c:v>37.950000000000003</c:v>
                      </c:pt>
                      <c:pt idx="335">
                        <c:v>41.7</c:v>
                      </c:pt>
                      <c:pt idx="336">
                        <c:v>24.13</c:v>
                      </c:pt>
                      <c:pt idx="337">
                        <c:v>30.14</c:v>
                      </c:pt>
                      <c:pt idx="338">
                        <c:v>30.63</c:v>
                      </c:pt>
                      <c:pt idx="339">
                        <c:v>28.08</c:v>
                      </c:pt>
                      <c:pt idx="340">
                        <c:v>23.24</c:v>
                      </c:pt>
                      <c:pt idx="341">
                        <c:v>50.21</c:v>
                      </c:pt>
                      <c:pt idx="342">
                        <c:v>32.200000000000003</c:v>
                      </c:pt>
                      <c:pt idx="343">
                        <c:v>51.8</c:v>
                      </c:pt>
                      <c:pt idx="344">
                        <c:v>15.06</c:v>
                      </c:pt>
                      <c:pt idx="345">
                        <c:v>13.35</c:v>
                      </c:pt>
                      <c:pt idx="346">
                        <c:v>42.5</c:v>
                      </c:pt>
                      <c:pt idx="347">
                        <c:v>40.4</c:v>
                      </c:pt>
                      <c:pt idx="348">
                        <c:v>18.2</c:v>
                      </c:pt>
                      <c:pt idx="349">
                        <c:v>37.82</c:v>
                      </c:pt>
                      <c:pt idx="350">
                        <c:v>37.72</c:v>
                      </c:pt>
                      <c:pt idx="351">
                        <c:v>52.89</c:v>
                      </c:pt>
                      <c:pt idx="352">
                        <c:v>3.29</c:v>
                      </c:pt>
                      <c:pt idx="353">
                        <c:v>26.7</c:v>
                      </c:pt>
                      <c:pt idx="354">
                        <c:v>20.37</c:v>
                      </c:pt>
                      <c:pt idx="355">
                        <c:v>16.36</c:v>
                      </c:pt>
                      <c:pt idx="356">
                        <c:v>30.88</c:v>
                      </c:pt>
                      <c:pt idx="357">
                        <c:v>40.44</c:v>
                      </c:pt>
                      <c:pt idx="358">
                        <c:v>48.72</c:v>
                      </c:pt>
                      <c:pt idx="359">
                        <c:v>36.36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DF1-4AEC-8EDE-5E31C064C09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Cleaned_Dataset!$L$2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Cleaned_Dataset!$L$3:$L$1048576</c15:sqref>
                        </c15:formulaRef>
                      </c:ext>
                    </c:extLst>
                    <c:numCache>
                      <c:formatCode>General</c:formatCode>
                      <c:ptCount val="1048574"/>
                      <c:pt idx="0">
                        <c:v>2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0</c:v>
                      </c:pt>
                      <c:pt idx="17">
                        <c:v>3</c:v>
                      </c:pt>
                      <c:pt idx="18">
                        <c:v>2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3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0</c:v>
                      </c:pt>
                      <c:pt idx="37">
                        <c:v>1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1</c:v>
                      </c:pt>
                      <c:pt idx="48">
                        <c:v>3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1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1</c:v>
                      </c:pt>
                      <c:pt idx="57">
                        <c:v>2</c:v>
                      </c:pt>
                      <c:pt idx="58">
                        <c:v>1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1</c:v>
                      </c:pt>
                      <c:pt idx="65">
                        <c:v>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2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0</c:v>
                      </c:pt>
                      <c:pt idx="77">
                        <c:v>2</c:v>
                      </c:pt>
                      <c:pt idx="78">
                        <c:v>1</c:v>
                      </c:pt>
                      <c:pt idx="79">
                        <c:v>3</c:v>
                      </c:pt>
                      <c:pt idx="80">
                        <c:v>0</c:v>
                      </c:pt>
                      <c:pt idx="81">
                        <c:v>1</c:v>
                      </c:pt>
                      <c:pt idx="82">
                        <c:v>2</c:v>
                      </c:pt>
                      <c:pt idx="83">
                        <c:v>2</c:v>
                      </c:pt>
                      <c:pt idx="84">
                        <c:v>0</c:v>
                      </c:pt>
                      <c:pt idx="85">
                        <c:v>2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0</c:v>
                      </c:pt>
                      <c:pt idx="90">
                        <c:v>1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2</c:v>
                      </c:pt>
                      <c:pt idx="104">
                        <c:v>2</c:v>
                      </c:pt>
                      <c:pt idx="105">
                        <c:v>1</c:v>
                      </c:pt>
                      <c:pt idx="106">
                        <c:v>0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2</c:v>
                      </c:pt>
                      <c:pt idx="110">
                        <c:v>3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1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1</c:v>
                      </c:pt>
                      <c:pt idx="121">
                        <c:v>3</c:v>
                      </c:pt>
                      <c:pt idx="122">
                        <c:v>0</c:v>
                      </c:pt>
                      <c:pt idx="123">
                        <c:v>1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1</c:v>
                      </c:pt>
                      <c:pt idx="129">
                        <c:v>0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1</c:v>
                      </c:pt>
                      <c:pt idx="138">
                        <c:v>0</c:v>
                      </c:pt>
                      <c:pt idx="139">
                        <c:v>2</c:v>
                      </c:pt>
                      <c:pt idx="140">
                        <c:v>1</c:v>
                      </c:pt>
                      <c:pt idx="141">
                        <c:v>2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2</c:v>
                      </c:pt>
                      <c:pt idx="146">
                        <c:v>0</c:v>
                      </c:pt>
                      <c:pt idx="147">
                        <c:v>1</c:v>
                      </c:pt>
                      <c:pt idx="148">
                        <c:v>2</c:v>
                      </c:pt>
                      <c:pt idx="149">
                        <c:v>0</c:v>
                      </c:pt>
                      <c:pt idx="150">
                        <c:v>4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1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1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1</c:v>
                      </c:pt>
                      <c:pt idx="163">
                        <c:v>3</c:v>
                      </c:pt>
                      <c:pt idx="164">
                        <c:v>2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1</c:v>
                      </c:pt>
                      <c:pt idx="168">
                        <c:v>3</c:v>
                      </c:pt>
                      <c:pt idx="169">
                        <c:v>0</c:v>
                      </c:pt>
                      <c:pt idx="170">
                        <c:v>2</c:v>
                      </c:pt>
                      <c:pt idx="171">
                        <c:v>0</c:v>
                      </c:pt>
                      <c:pt idx="172">
                        <c:v>1</c:v>
                      </c:pt>
                      <c:pt idx="173">
                        <c:v>2</c:v>
                      </c:pt>
                      <c:pt idx="174">
                        <c:v>1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2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3</c:v>
                      </c:pt>
                      <c:pt idx="182">
                        <c:v>0</c:v>
                      </c:pt>
                      <c:pt idx="183">
                        <c:v>1</c:v>
                      </c:pt>
                      <c:pt idx="184">
                        <c:v>2</c:v>
                      </c:pt>
                      <c:pt idx="185">
                        <c:v>1</c:v>
                      </c:pt>
                      <c:pt idx="186">
                        <c:v>0</c:v>
                      </c:pt>
                      <c:pt idx="187">
                        <c:v>1</c:v>
                      </c:pt>
                      <c:pt idx="188">
                        <c:v>0</c:v>
                      </c:pt>
                      <c:pt idx="189">
                        <c:v>2</c:v>
                      </c:pt>
                      <c:pt idx="190">
                        <c:v>1</c:v>
                      </c:pt>
                      <c:pt idx="191">
                        <c:v>0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0</c:v>
                      </c:pt>
                      <c:pt idx="195">
                        <c:v>1</c:v>
                      </c:pt>
                      <c:pt idx="196">
                        <c:v>0</c:v>
                      </c:pt>
                      <c:pt idx="197">
                        <c:v>2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1</c:v>
                      </c:pt>
                      <c:pt idx="201">
                        <c:v>2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0</c:v>
                      </c:pt>
                      <c:pt idx="209">
                        <c:v>1</c:v>
                      </c:pt>
                      <c:pt idx="210">
                        <c:v>2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0</c:v>
                      </c:pt>
                      <c:pt idx="214">
                        <c:v>3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1</c:v>
                      </c:pt>
                      <c:pt idx="218">
                        <c:v>0</c:v>
                      </c:pt>
                      <c:pt idx="219">
                        <c:v>1</c:v>
                      </c:pt>
                      <c:pt idx="220">
                        <c:v>0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2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4</c:v>
                      </c:pt>
                      <c:pt idx="229">
                        <c:v>1</c:v>
                      </c:pt>
                      <c:pt idx="230">
                        <c:v>2</c:v>
                      </c:pt>
                      <c:pt idx="231">
                        <c:v>2</c:v>
                      </c:pt>
                      <c:pt idx="232">
                        <c:v>3</c:v>
                      </c:pt>
                      <c:pt idx="233">
                        <c:v>1</c:v>
                      </c:pt>
                      <c:pt idx="234">
                        <c:v>0</c:v>
                      </c:pt>
                      <c:pt idx="235">
                        <c:v>2</c:v>
                      </c:pt>
                      <c:pt idx="236">
                        <c:v>1</c:v>
                      </c:pt>
                      <c:pt idx="237">
                        <c:v>2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3</c:v>
                      </c:pt>
                      <c:pt idx="241">
                        <c:v>1</c:v>
                      </c:pt>
                      <c:pt idx="242">
                        <c:v>4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2</c:v>
                      </c:pt>
                      <c:pt idx="246">
                        <c:v>0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0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0</c:v>
                      </c:pt>
                      <c:pt idx="253">
                        <c:v>1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2</c:v>
                      </c:pt>
                      <c:pt idx="260">
                        <c:v>0</c:v>
                      </c:pt>
                      <c:pt idx="261">
                        <c:v>1</c:v>
                      </c:pt>
                      <c:pt idx="262">
                        <c:v>0</c:v>
                      </c:pt>
                      <c:pt idx="263">
                        <c:v>1</c:v>
                      </c:pt>
                      <c:pt idx="264">
                        <c:v>0</c:v>
                      </c:pt>
                      <c:pt idx="265">
                        <c:v>1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1</c:v>
                      </c:pt>
                      <c:pt idx="270">
                        <c:v>0</c:v>
                      </c:pt>
                      <c:pt idx="271">
                        <c:v>1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4</c:v>
                      </c:pt>
                      <c:pt idx="275">
                        <c:v>0</c:v>
                      </c:pt>
                      <c:pt idx="276">
                        <c:v>3</c:v>
                      </c:pt>
                      <c:pt idx="277">
                        <c:v>1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3</c:v>
                      </c:pt>
                      <c:pt idx="283">
                        <c:v>0</c:v>
                      </c:pt>
                      <c:pt idx="284">
                        <c:v>2</c:v>
                      </c:pt>
                      <c:pt idx="285">
                        <c:v>2</c:v>
                      </c:pt>
                      <c:pt idx="286">
                        <c:v>0</c:v>
                      </c:pt>
                      <c:pt idx="287">
                        <c:v>2</c:v>
                      </c:pt>
                      <c:pt idx="288">
                        <c:v>5</c:v>
                      </c:pt>
                      <c:pt idx="289">
                        <c:v>1</c:v>
                      </c:pt>
                      <c:pt idx="290">
                        <c:v>3</c:v>
                      </c:pt>
                      <c:pt idx="291">
                        <c:v>0</c:v>
                      </c:pt>
                      <c:pt idx="292">
                        <c:v>1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1</c:v>
                      </c:pt>
                      <c:pt idx="296">
                        <c:v>3</c:v>
                      </c:pt>
                      <c:pt idx="297">
                        <c:v>0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4</c:v>
                      </c:pt>
                      <c:pt idx="301">
                        <c:v>0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2</c:v>
                      </c:pt>
                      <c:pt idx="305">
                        <c:v>0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3</c:v>
                      </c:pt>
                      <c:pt idx="309">
                        <c:v>2</c:v>
                      </c:pt>
                      <c:pt idx="310">
                        <c:v>1</c:v>
                      </c:pt>
                      <c:pt idx="311">
                        <c:v>4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1</c:v>
                      </c:pt>
                      <c:pt idx="315">
                        <c:v>0</c:v>
                      </c:pt>
                      <c:pt idx="316">
                        <c:v>1</c:v>
                      </c:pt>
                      <c:pt idx="317">
                        <c:v>5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1</c:v>
                      </c:pt>
                      <c:pt idx="321">
                        <c:v>3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2</c:v>
                      </c:pt>
                      <c:pt idx="326">
                        <c:v>0</c:v>
                      </c:pt>
                      <c:pt idx="327">
                        <c:v>1</c:v>
                      </c:pt>
                      <c:pt idx="328">
                        <c:v>2</c:v>
                      </c:pt>
                      <c:pt idx="329">
                        <c:v>2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3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0</c:v>
                      </c:pt>
                      <c:pt idx="337">
                        <c:v>1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1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1</c:v>
                      </c:pt>
                      <c:pt idx="346">
                        <c:v>4</c:v>
                      </c:pt>
                      <c:pt idx="347">
                        <c:v>1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3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1</c:v>
                      </c:pt>
                      <c:pt idx="356">
                        <c:v>4</c:v>
                      </c:pt>
                      <c:pt idx="357">
                        <c:v>1</c:v>
                      </c:pt>
                      <c:pt idx="358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9DF1-4AEC-8EDE-5E31C064C09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Cleaned_Dataset!$L$1</c15:sqref>
                        </c15:formulaRef>
                      </c:ext>
                    </c:extLst>
                    <c:strCache>
                      <c:ptCount val="1"/>
                      <c:pt idx="0">
                        <c:v>defect_count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Cleaned_Dataset!$L$2:$L$361</c15:sqref>
                        </c15:formulaRef>
                      </c:ext>
                    </c:extLst>
                    <c:numCache>
                      <c:formatCode>General</c:formatCode>
                      <c:ptCount val="360"/>
                      <c:pt idx="0">
                        <c:v>1</c:v>
                      </c:pt>
                      <c:pt idx="1">
                        <c:v>2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1</c:v>
                      </c:pt>
                      <c:pt idx="7">
                        <c:v>3</c:v>
                      </c:pt>
                      <c:pt idx="8">
                        <c:v>0</c:v>
                      </c:pt>
                      <c:pt idx="9">
                        <c:v>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3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3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0</c:v>
                      </c:pt>
                      <c:pt idx="38">
                        <c:v>1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1</c:v>
                      </c:pt>
                      <c:pt idx="49">
                        <c:v>3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1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1</c:v>
                      </c:pt>
                      <c:pt idx="58">
                        <c:v>2</c:v>
                      </c:pt>
                      <c:pt idx="59">
                        <c:v>1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1</c:v>
                      </c:pt>
                      <c:pt idx="66">
                        <c:v>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1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2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0</c:v>
                      </c:pt>
                      <c:pt idx="78">
                        <c:v>2</c:v>
                      </c:pt>
                      <c:pt idx="79">
                        <c:v>1</c:v>
                      </c:pt>
                      <c:pt idx="80">
                        <c:v>3</c:v>
                      </c:pt>
                      <c:pt idx="81">
                        <c:v>0</c:v>
                      </c:pt>
                      <c:pt idx="82">
                        <c:v>1</c:v>
                      </c:pt>
                      <c:pt idx="83">
                        <c:v>2</c:v>
                      </c:pt>
                      <c:pt idx="84">
                        <c:v>2</c:v>
                      </c:pt>
                      <c:pt idx="85">
                        <c:v>0</c:v>
                      </c:pt>
                      <c:pt idx="86">
                        <c:v>2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0</c:v>
                      </c:pt>
                      <c:pt idx="91">
                        <c:v>1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2</c:v>
                      </c:pt>
                      <c:pt idx="105">
                        <c:v>2</c:v>
                      </c:pt>
                      <c:pt idx="106">
                        <c:v>1</c:v>
                      </c:pt>
                      <c:pt idx="107">
                        <c:v>0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2</c:v>
                      </c:pt>
                      <c:pt idx="111">
                        <c:v>3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1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1</c:v>
                      </c:pt>
                      <c:pt idx="122">
                        <c:v>3</c:v>
                      </c:pt>
                      <c:pt idx="123">
                        <c:v>0</c:v>
                      </c:pt>
                      <c:pt idx="124">
                        <c:v>1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1</c:v>
                      </c:pt>
                      <c:pt idx="130">
                        <c:v>0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1</c:v>
                      </c:pt>
                      <c:pt idx="139">
                        <c:v>0</c:v>
                      </c:pt>
                      <c:pt idx="140">
                        <c:v>2</c:v>
                      </c:pt>
                      <c:pt idx="141">
                        <c:v>1</c:v>
                      </c:pt>
                      <c:pt idx="142">
                        <c:v>2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2</c:v>
                      </c:pt>
                      <c:pt idx="147">
                        <c:v>0</c:v>
                      </c:pt>
                      <c:pt idx="148">
                        <c:v>1</c:v>
                      </c:pt>
                      <c:pt idx="149">
                        <c:v>2</c:v>
                      </c:pt>
                      <c:pt idx="150">
                        <c:v>0</c:v>
                      </c:pt>
                      <c:pt idx="151">
                        <c:v>4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1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1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1</c:v>
                      </c:pt>
                      <c:pt idx="164">
                        <c:v>3</c:v>
                      </c:pt>
                      <c:pt idx="165">
                        <c:v>2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1</c:v>
                      </c:pt>
                      <c:pt idx="169">
                        <c:v>3</c:v>
                      </c:pt>
                      <c:pt idx="170">
                        <c:v>0</c:v>
                      </c:pt>
                      <c:pt idx="171">
                        <c:v>2</c:v>
                      </c:pt>
                      <c:pt idx="172">
                        <c:v>0</c:v>
                      </c:pt>
                      <c:pt idx="173">
                        <c:v>1</c:v>
                      </c:pt>
                      <c:pt idx="174">
                        <c:v>2</c:v>
                      </c:pt>
                      <c:pt idx="175">
                        <c:v>1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2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3</c:v>
                      </c:pt>
                      <c:pt idx="183">
                        <c:v>0</c:v>
                      </c:pt>
                      <c:pt idx="184">
                        <c:v>1</c:v>
                      </c:pt>
                      <c:pt idx="185">
                        <c:v>2</c:v>
                      </c:pt>
                      <c:pt idx="186">
                        <c:v>1</c:v>
                      </c:pt>
                      <c:pt idx="187">
                        <c:v>0</c:v>
                      </c:pt>
                      <c:pt idx="188">
                        <c:v>1</c:v>
                      </c:pt>
                      <c:pt idx="189">
                        <c:v>0</c:v>
                      </c:pt>
                      <c:pt idx="190">
                        <c:v>2</c:v>
                      </c:pt>
                      <c:pt idx="191">
                        <c:v>1</c:v>
                      </c:pt>
                      <c:pt idx="192">
                        <c:v>0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0</c:v>
                      </c:pt>
                      <c:pt idx="196">
                        <c:v>1</c:v>
                      </c:pt>
                      <c:pt idx="197">
                        <c:v>0</c:v>
                      </c:pt>
                      <c:pt idx="198">
                        <c:v>2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1</c:v>
                      </c:pt>
                      <c:pt idx="202">
                        <c:v>2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0</c:v>
                      </c:pt>
                      <c:pt idx="210">
                        <c:v>1</c:v>
                      </c:pt>
                      <c:pt idx="211">
                        <c:v>2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0</c:v>
                      </c:pt>
                      <c:pt idx="215">
                        <c:v>3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1</c:v>
                      </c:pt>
                      <c:pt idx="219">
                        <c:v>0</c:v>
                      </c:pt>
                      <c:pt idx="220">
                        <c:v>1</c:v>
                      </c:pt>
                      <c:pt idx="221">
                        <c:v>0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2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4</c:v>
                      </c:pt>
                      <c:pt idx="230">
                        <c:v>1</c:v>
                      </c:pt>
                      <c:pt idx="231">
                        <c:v>2</c:v>
                      </c:pt>
                      <c:pt idx="232">
                        <c:v>2</c:v>
                      </c:pt>
                      <c:pt idx="233">
                        <c:v>3</c:v>
                      </c:pt>
                      <c:pt idx="234">
                        <c:v>1</c:v>
                      </c:pt>
                      <c:pt idx="235">
                        <c:v>0</c:v>
                      </c:pt>
                      <c:pt idx="236">
                        <c:v>2</c:v>
                      </c:pt>
                      <c:pt idx="237">
                        <c:v>1</c:v>
                      </c:pt>
                      <c:pt idx="238">
                        <c:v>2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3</c:v>
                      </c:pt>
                      <c:pt idx="242">
                        <c:v>1</c:v>
                      </c:pt>
                      <c:pt idx="243">
                        <c:v>4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2</c:v>
                      </c:pt>
                      <c:pt idx="247">
                        <c:v>0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0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0</c:v>
                      </c:pt>
                      <c:pt idx="254">
                        <c:v>1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2</c:v>
                      </c:pt>
                      <c:pt idx="261">
                        <c:v>0</c:v>
                      </c:pt>
                      <c:pt idx="262">
                        <c:v>1</c:v>
                      </c:pt>
                      <c:pt idx="263">
                        <c:v>0</c:v>
                      </c:pt>
                      <c:pt idx="264">
                        <c:v>1</c:v>
                      </c:pt>
                      <c:pt idx="265">
                        <c:v>0</c:v>
                      </c:pt>
                      <c:pt idx="266">
                        <c:v>1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1</c:v>
                      </c:pt>
                      <c:pt idx="271">
                        <c:v>0</c:v>
                      </c:pt>
                      <c:pt idx="272">
                        <c:v>1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4</c:v>
                      </c:pt>
                      <c:pt idx="276">
                        <c:v>0</c:v>
                      </c:pt>
                      <c:pt idx="277">
                        <c:v>3</c:v>
                      </c:pt>
                      <c:pt idx="278">
                        <c:v>1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3</c:v>
                      </c:pt>
                      <c:pt idx="284">
                        <c:v>0</c:v>
                      </c:pt>
                      <c:pt idx="285">
                        <c:v>2</c:v>
                      </c:pt>
                      <c:pt idx="286">
                        <c:v>2</c:v>
                      </c:pt>
                      <c:pt idx="287">
                        <c:v>0</c:v>
                      </c:pt>
                      <c:pt idx="288">
                        <c:v>2</c:v>
                      </c:pt>
                      <c:pt idx="289">
                        <c:v>5</c:v>
                      </c:pt>
                      <c:pt idx="290">
                        <c:v>1</c:v>
                      </c:pt>
                      <c:pt idx="291">
                        <c:v>3</c:v>
                      </c:pt>
                      <c:pt idx="292">
                        <c:v>0</c:v>
                      </c:pt>
                      <c:pt idx="293">
                        <c:v>1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1</c:v>
                      </c:pt>
                      <c:pt idx="297">
                        <c:v>3</c:v>
                      </c:pt>
                      <c:pt idx="298">
                        <c:v>0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4</c:v>
                      </c:pt>
                      <c:pt idx="302">
                        <c:v>0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2</c:v>
                      </c:pt>
                      <c:pt idx="306">
                        <c:v>0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3</c:v>
                      </c:pt>
                      <c:pt idx="310">
                        <c:v>2</c:v>
                      </c:pt>
                      <c:pt idx="311">
                        <c:v>1</c:v>
                      </c:pt>
                      <c:pt idx="312">
                        <c:v>4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1</c:v>
                      </c:pt>
                      <c:pt idx="316">
                        <c:v>0</c:v>
                      </c:pt>
                      <c:pt idx="317">
                        <c:v>1</c:v>
                      </c:pt>
                      <c:pt idx="318">
                        <c:v>5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1</c:v>
                      </c:pt>
                      <c:pt idx="322">
                        <c:v>3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2</c:v>
                      </c:pt>
                      <c:pt idx="327">
                        <c:v>0</c:v>
                      </c:pt>
                      <c:pt idx="328">
                        <c:v>1</c:v>
                      </c:pt>
                      <c:pt idx="329">
                        <c:v>2</c:v>
                      </c:pt>
                      <c:pt idx="330">
                        <c:v>2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3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0</c:v>
                      </c:pt>
                      <c:pt idx="338">
                        <c:v>1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1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1</c:v>
                      </c:pt>
                      <c:pt idx="347">
                        <c:v>4</c:v>
                      </c:pt>
                      <c:pt idx="348">
                        <c:v>1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3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1</c:v>
                      </c:pt>
                      <c:pt idx="357">
                        <c:v>4</c:v>
                      </c:pt>
                      <c:pt idx="358">
                        <c:v>1</c:v>
                      </c:pt>
                      <c:pt idx="35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9DF1-4AEC-8EDE-5E31C064C09C}"/>
                  </c:ext>
                </c:extLst>
              </c15:ser>
            </c15:filteredScatterSeries>
          </c:ext>
        </c:extLst>
      </c:scatterChart>
      <c:valAx>
        <c:axId val="115591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106511"/>
        <c:crosses val="autoZero"/>
        <c:crossBetween val="midCat"/>
      </c:valAx>
      <c:valAx>
        <c:axId val="115510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912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[Software_Quality_Insight_Round3.xlsx]Pivot _Tables!PivotTable1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Modules by Total Defects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_Tables'!$B$1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_Tables'!$A$2:$A$12</c:f>
              <c:strCache>
                <c:ptCount val="10"/>
                <c:pt idx="0">
                  <c:v>MOD-050</c:v>
                </c:pt>
                <c:pt idx="1">
                  <c:v>MOD-052</c:v>
                </c:pt>
                <c:pt idx="2">
                  <c:v>MOD-019</c:v>
                </c:pt>
                <c:pt idx="3">
                  <c:v>MOD-058</c:v>
                </c:pt>
                <c:pt idx="4">
                  <c:v>MOD-010</c:v>
                </c:pt>
                <c:pt idx="5">
                  <c:v>MOD-036</c:v>
                </c:pt>
                <c:pt idx="6">
                  <c:v>MOD-002</c:v>
                </c:pt>
                <c:pt idx="7">
                  <c:v>MOD-027</c:v>
                </c:pt>
                <c:pt idx="8">
                  <c:v>MOD-032</c:v>
                </c:pt>
                <c:pt idx="9">
                  <c:v>MOD-023</c:v>
                </c:pt>
              </c:strCache>
            </c:strRef>
          </c:cat>
          <c:val>
            <c:numRef>
              <c:f>'Pivot _Tables'!$B$2:$B$12</c:f>
              <c:numCache>
                <c:formatCode>General</c:formatCode>
                <c:ptCount val="10"/>
                <c:pt idx="0">
                  <c:v>16</c:v>
                </c:pt>
                <c:pt idx="1">
                  <c:v>13</c:v>
                </c:pt>
                <c:pt idx="2">
                  <c:v>13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9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B-42EA-ABF9-3880B07B7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3782191"/>
        <c:axId val="1155119471"/>
      </c:barChart>
      <c:catAx>
        <c:axId val="1143782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119471"/>
        <c:crosses val="autoZero"/>
        <c:auto val="1"/>
        <c:lblAlgn val="ctr"/>
        <c:lblOffset val="100"/>
        <c:noMultiLvlLbl val="0"/>
      </c:catAx>
      <c:valAx>
        <c:axId val="1155119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78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Code Churn vs Defect Count.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6.306711661042369E-2"/>
          <c:y val="0.16379041890274898"/>
          <c:w val="0.90370306972498005"/>
          <c:h val="0.7221516680638207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Cleaned_Dataset!$I$2:$I$361</c:f>
              <c:numCache>
                <c:formatCode>General</c:formatCode>
                <c:ptCount val="360"/>
                <c:pt idx="0">
                  <c:v>112</c:v>
                </c:pt>
                <c:pt idx="1">
                  <c:v>31</c:v>
                </c:pt>
                <c:pt idx="2">
                  <c:v>30</c:v>
                </c:pt>
                <c:pt idx="3">
                  <c:v>52</c:v>
                </c:pt>
                <c:pt idx="4">
                  <c:v>144</c:v>
                </c:pt>
                <c:pt idx="5">
                  <c:v>163</c:v>
                </c:pt>
                <c:pt idx="6">
                  <c:v>139</c:v>
                </c:pt>
                <c:pt idx="7">
                  <c:v>90</c:v>
                </c:pt>
                <c:pt idx="8">
                  <c:v>73</c:v>
                </c:pt>
                <c:pt idx="9">
                  <c:v>168</c:v>
                </c:pt>
                <c:pt idx="10">
                  <c:v>14</c:v>
                </c:pt>
                <c:pt idx="11">
                  <c:v>109</c:v>
                </c:pt>
                <c:pt idx="12">
                  <c:v>110</c:v>
                </c:pt>
                <c:pt idx="13">
                  <c:v>173</c:v>
                </c:pt>
                <c:pt idx="14">
                  <c:v>6</c:v>
                </c:pt>
                <c:pt idx="15">
                  <c:v>44</c:v>
                </c:pt>
                <c:pt idx="16">
                  <c:v>32</c:v>
                </c:pt>
                <c:pt idx="17">
                  <c:v>109</c:v>
                </c:pt>
                <c:pt idx="18">
                  <c:v>122</c:v>
                </c:pt>
                <c:pt idx="19">
                  <c:v>60</c:v>
                </c:pt>
                <c:pt idx="20">
                  <c:v>148</c:v>
                </c:pt>
                <c:pt idx="21">
                  <c:v>91</c:v>
                </c:pt>
                <c:pt idx="22">
                  <c:v>157</c:v>
                </c:pt>
                <c:pt idx="23">
                  <c:v>49</c:v>
                </c:pt>
                <c:pt idx="24">
                  <c:v>0</c:v>
                </c:pt>
                <c:pt idx="25">
                  <c:v>73</c:v>
                </c:pt>
                <c:pt idx="26">
                  <c:v>172</c:v>
                </c:pt>
                <c:pt idx="27">
                  <c:v>81</c:v>
                </c:pt>
                <c:pt idx="28">
                  <c:v>10</c:v>
                </c:pt>
                <c:pt idx="29">
                  <c:v>140</c:v>
                </c:pt>
                <c:pt idx="30">
                  <c:v>123</c:v>
                </c:pt>
                <c:pt idx="31">
                  <c:v>21</c:v>
                </c:pt>
                <c:pt idx="32">
                  <c:v>84</c:v>
                </c:pt>
                <c:pt idx="33">
                  <c:v>124</c:v>
                </c:pt>
                <c:pt idx="34">
                  <c:v>88</c:v>
                </c:pt>
                <c:pt idx="35">
                  <c:v>137</c:v>
                </c:pt>
                <c:pt idx="36">
                  <c:v>59</c:v>
                </c:pt>
                <c:pt idx="37">
                  <c:v>95</c:v>
                </c:pt>
                <c:pt idx="38">
                  <c:v>95</c:v>
                </c:pt>
                <c:pt idx="39">
                  <c:v>0</c:v>
                </c:pt>
                <c:pt idx="40">
                  <c:v>107</c:v>
                </c:pt>
                <c:pt idx="41">
                  <c:v>42</c:v>
                </c:pt>
                <c:pt idx="42">
                  <c:v>151</c:v>
                </c:pt>
                <c:pt idx="43">
                  <c:v>167</c:v>
                </c:pt>
                <c:pt idx="44">
                  <c:v>63</c:v>
                </c:pt>
                <c:pt idx="45">
                  <c:v>126</c:v>
                </c:pt>
                <c:pt idx="46">
                  <c:v>133</c:v>
                </c:pt>
                <c:pt idx="47">
                  <c:v>96</c:v>
                </c:pt>
                <c:pt idx="48">
                  <c:v>151</c:v>
                </c:pt>
                <c:pt idx="49">
                  <c:v>161</c:v>
                </c:pt>
                <c:pt idx="51">
                  <c:v>122</c:v>
                </c:pt>
                <c:pt idx="52">
                  <c:v>217</c:v>
                </c:pt>
                <c:pt idx="53">
                  <c:v>73</c:v>
                </c:pt>
                <c:pt idx="54">
                  <c:v>21</c:v>
                </c:pt>
                <c:pt idx="55">
                  <c:v>180</c:v>
                </c:pt>
                <c:pt idx="56">
                  <c:v>47</c:v>
                </c:pt>
                <c:pt idx="57">
                  <c:v>66</c:v>
                </c:pt>
                <c:pt idx="58">
                  <c:v>85</c:v>
                </c:pt>
                <c:pt idx="59">
                  <c:v>229</c:v>
                </c:pt>
                <c:pt idx="60">
                  <c:v>103</c:v>
                </c:pt>
                <c:pt idx="61">
                  <c:v>60</c:v>
                </c:pt>
                <c:pt idx="62">
                  <c:v>56</c:v>
                </c:pt>
                <c:pt idx="63">
                  <c:v>88</c:v>
                </c:pt>
                <c:pt idx="64">
                  <c:v>166</c:v>
                </c:pt>
                <c:pt idx="65">
                  <c:v>166</c:v>
                </c:pt>
                <c:pt idx="66">
                  <c:v>200</c:v>
                </c:pt>
                <c:pt idx="67">
                  <c:v>52</c:v>
                </c:pt>
                <c:pt idx="68">
                  <c:v>139</c:v>
                </c:pt>
                <c:pt idx="69">
                  <c:v>225</c:v>
                </c:pt>
                <c:pt idx="70">
                  <c:v>41</c:v>
                </c:pt>
                <c:pt idx="71">
                  <c:v>113</c:v>
                </c:pt>
                <c:pt idx="72">
                  <c:v>115</c:v>
                </c:pt>
                <c:pt idx="73">
                  <c:v>200</c:v>
                </c:pt>
                <c:pt idx="74">
                  <c:v>61</c:v>
                </c:pt>
                <c:pt idx="75">
                  <c:v>35</c:v>
                </c:pt>
                <c:pt idx="76">
                  <c:v>95</c:v>
                </c:pt>
                <c:pt idx="77">
                  <c:v>70</c:v>
                </c:pt>
                <c:pt idx="78">
                  <c:v>155</c:v>
                </c:pt>
                <c:pt idx="79">
                  <c:v>76</c:v>
                </c:pt>
                <c:pt idx="80">
                  <c:v>152</c:v>
                </c:pt>
                <c:pt idx="81">
                  <c:v>57</c:v>
                </c:pt>
                <c:pt idx="82">
                  <c:v>196</c:v>
                </c:pt>
                <c:pt idx="83">
                  <c:v>43</c:v>
                </c:pt>
                <c:pt idx="84">
                  <c:v>23</c:v>
                </c:pt>
                <c:pt idx="85">
                  <c:v>110</c:v>
                </c:pt>
                <c:pt idx="86">
                  <c:v>165</c:v>
                </c:pt>
                <c:pt idx="87">
                  <c:v>142</c:v>
                </c:pt>
                <c:pt idx="88">
                  <c:v>82</c:v>
                </c:pt>
                <c:pt idx="89">
                  <c:v>88</c:v>
                </c:pt>
                <c:pt idx="90">
                  <c:v>118</c:v>
                </c:pt>
                <c:pt idx="91">
                  <c:v>60</c:v>
                </c:pt>
                <c:pt idx="92">
                  <c:v>39</c:v>
                </c:pt>
                <c:pt idx="93">
                  <c:v>117</c:v>
                </c:pt>
                <c:pt idx="94">
                  <c:v>108</c:v>
                </c:pt>
                <c:pt idx="95">
                  <c:v>182</c:v>
                </c:pt>
                <c:pt idx="96">
                  <c:v>47</c:v>
                </c:pt>
                <c:pt idx="97">
                  <c:v>38</c:v>
                </c:pt>
                <c:pt idx="98">
                  <c:v>111</c:v>
                </c:pt>
                <c:pt idx="99">
                  <c:v>0</c:v>
                </c:pt>
                <c:pt idx="100">
                  <c:v>143</c:v>
                </c:pt>
                <c:pt idx="101">
                  <c:v>21</c:v>
                </c:pt>
                <c:pt idx="102">
                  <c:v>191</c:v>
                </c:pt>
                <c:pt idx="103">
                  <c:v>200</c:v>
                </c:pt>
                <c:pt idx="104">
                  <c:v>49</c:v>
                </c:pt>
                <c:pt idx="105">
                  <c:v>137</c:v>
                </c:pt>
                <c:pt idx="106">
                  <c:v>134</c:v>
                </c:pt>
                <c:pt idx="107">
                  <c:v>96</c:v>
                </c:pt>
                <c:pt idx="108">
                  <c:v>214</c:v>
                </c:pt>
                <c:pt idx="109">
                  <c:v>165</c:v>
                </c:pt>
                <c:pt idx="110">
                  <c:v>194</c:v>
                </c:pt>
                <c:pt idx="111">
                  <c:v>190</c:v>
                </c:pt>
                <c:pt idx="112">
                  <c:v>156</c:v>
                </c:pt>
                <c:pt idx="113">
                  <c:v>103</c:v>
                </c:pt>
                <c:pt idx="114">
                  <c:v>61</c:v>
                </c:pt>
                <c:pt idx="115">
                  <c:v>193</c:v>
                </c:pt>
                <c:pt idx="116">
                  <c:v>61</c:v>
                </c:pt>
                <c:pt idx="117">
                  <c:v>79</c:v>
                </c:pt>
                <c:pt idx="118">
                  <c:v>114</c:v>
                </c:pt>
                <c:pt idx="119">
                  <c:v>207</c:v>
                </c:pt>
                <c:pt idx="120">
                  <c:v>95</c:v>
                </c:pt>
                <c:pt idx="121">
                  <c:v>88</c:v>
                </c:pt>
                <c:pt idx="122">
                  <c:v>23</c:v>
                </c:pt>
                <c:pt idx="123">
                  <c:v>109</c:v>
                </c:pt>
                <c:pt idx="124">
                  <c:v>199</c:v>
                </c:pt>
                <c:pt idx="125">
                  <c:v>95</c:v>
                </c:pt>
                <c:pt idx="126">
                  <c:v>133</c:v>
                </c:pt>
                <c:pt idx="127">
                  <c:v>45</c:v>
                </c:pt>
                <c:pt idx="128">
                  <c:v>95</c:v>
                </c:pt>
                <c:pt idx="129">
                  <c:v>184</c:v>
                </c:pt>
                <c:pt idx="130">
                  <c:v>2</c:v>
                </c:pt>
                <c:pt idx="131">
                  <c:v>105</c:v>
                </c:pt>
                <c:pt idx="132">
                  <c:v>143</c:v>
                </c:pt>
                <c:pt idx="133">
                  <c:v>171</c:v>
                </c:pt>
                <c:pt idx="134">
                  <c:v>0</c:v>
                </c:pt>
                <c:pt idx="135">
                  <c:v>24</c:v>
                </c:pt>
                <c:pt idx="136">
                  <c:v>72</c:v>
                </c:pt>
                <c:pt idx="137">
                  <c:v>70</c:v>
                </c:pt>
                <c:pt idx="138">
                  <c:v>117</c:v>
                </c:pt>
                <c:pt idx="139">
                  <c:v>4</c:v>
                </c:pt>
                <c:pt idx="140">
                  <c:v>107</c:v>
                </c:pt>
                <c:pt idx="141">
                  <c:v>85</c:v>
                </c:pt>
                <c:pt idx="142">
                  <c:v>203</c:v>
                </c:pt>
                <c:pt idx="143">
                  <c:v>0</c:v>
                </c:pt>
                <c:pt idx="144">
                  <c:v>0</c:v>
                </c:pt>
                <c:pt idx="145">
                  <c:v>62</c:v>
                </c:pt>
                <c:pt idx="146">
                  <c:v>126</c:v>
                </c:pt>
                <c:pt idx="147">
                  <c:v>64</c:v>
                </c:pt>
                <c:pt idx="148">
                  <c:v>28</c:v>
                </c:pt>
                <c:pt idx="149">
                  <c:v>89</c:v>
                </c:pt>
                <c:pt idx="150">
                  <c:v>102</c:v>
                </c:pt>
                <c:pt idx="151">
                  <c:v>69</c:v>
                </c:pt>
                <c:pt idx="152">
                  <c:v>60</c:v>
                </c:pt>
                <c:pt idx="153">
                  <c:v>68</c:v>
                </c:pt>
                <c:pt idx="154">
                  <c:v>120</c:v>
                </c:pt>
                <c:pt idx="155">
                  <c:v>130</c:v>
                </c:pt>
                <c:pt idx="156">
                  <c:v>0</c:v>
                </c:pt>
                <c:pt idx="157">
                  <c:v>48</c:v>
                </c:pt>
                <c:pt idx="158">
                  <c:v>89</c:v>
                </c:pt>
                <c:pt idx="159">
                  <c:v>5</c:v>
                </c:pt>
                <c:pt idx="160">
                  <c:v>188</c:v>
                </c:pt>
                <c:pt idx="161">
                  <c:v>47</c:v>
                </c:pt>
                <c:pt idx="162">
                  <c:v>169</c:v>
                </c:pt>
                <c:pt idx="163">
                  <c:v>124</c:v>
                </c:pt>
                <c:pt idx="164">
                  <c:v>101</c:v>
                </c:pt>
                <c:pt idx="165">
                  <c:v>115</c:v>
                </c:pt>
                <c:pt idx="166">
                  <c:v>113</c:v>
                </c:pt>
                <c:pt idx="167">
                  <c:v>75</c:v>
                </c:pt>
                <c:pt idx="168">
                  <c:v>182</c:v>
                </c:pt>
                <c:pt idx="169">
                  <c:v>142</c:v>
                </c:pt>
                <c:pt idx="170">
                  <c:v>160</c:v>
                </c:pt>
                <c:pt idx="171">
                  <c:v>178</c:v>
                </c:pt>
                <c:pt idx="172">
                  <c:v>207</c:v>
                </c:pt>
                <c:pt idx="173">
                  <c:v>60</c:v>
                </c:pt>
                <c:pt idx="174">
                  <c:v>40</c:v>
                </c:pt>
                <c:pt idx="175">
                  <c:v>129</c:v>
                </c:pt>
                <c:pt idx="176">
                  <c:v>71</c:v>
                </c:pt>
                <c:pt idx="177">
                  <c:v>17</c:v>
                </c:pt>
                <c:pt idx="178">
                  <c:v>51</c:v>
                </c:pt>
                <c:pt idx="179">
                  <c:v>196</c:v>
                </c:pt>
                <c:pt idx="180">
                  <c:v>100</c:v>
                </c:pt>
                <c:pt idx="181">
                  <c:v>94</c:v>
                </c:pt>
                <c:pt idx="182">
                  <c:v>30</c:v>
                </c:pt>
                <c:pt idx="183">
                  <c:v>71</c:v>
                </c:pt>
                <c:pt idx="184">
                  <c:v>196</c:v>
                </c:pt>
                <c:pt idx="185">
                  <c:v>152</c:v>
                </c:pt>
                <c:pt idx="186">
                  <c:v>138</c:v>
                </c:pt>
                <c:pt idx="187">
                  <c:v>80</c:v>
                </c:pt>
                <c:pt idx="188">
                  <c:v>145</c:v>
                </c:pt>
                <c:pt idx="189">
                  <c:v>179</c:v>
                </c:pt>
                <c:pt idx="190">
                  <c:v>58</c:v>
                </c:pt>
                <c:pt idx="191">
                  <c:v>128</c:v>
                </c:pt>
                <c:pt idx="192">
                  <c:v>128</c:v>
                </c:pt>
                <c:pt idx="193">
                  <c:v>162</c:v>
                </c:pt>
                <c:pt idx="194">
                  <c:v>25</c:v>
                </c:pt>
                <c:pt idx="195">
                  <c:v>59</c:v>
                </c:pt>
                <c:pt idx="196">
                  <c:v>94</c:v>
                </c:pt>
                <c:pt idx="197">
                  <c:v>84</c:v>
                </c:pt>
                <c:pt idx="198">
                  <c:v>91</c:v>
                </c:pt>
                <c:pt idx="199">
                  <c:v>29</c:v>
                </c:pt>
                <c:pt idx="200">
                  <c:v>197</c:v>
                </c:pt>
                <c:pt idx="201">
                  <c:v>103</c:v>
                </c:pt>
                <c:pt idx="202">
                  <c:v>177</c:v>
                </c:pt>
                <c:pt idx="203">
                  <c:v>55</c:v>
                </c:pt>
                <c:pt idx="204">
                  <c:v>19</c:v>
                </c:pt>
                <c:pt idx="205">
                  <c:v>70</c:v>
                </c:pt>
                <c:pt idx="206">
                  <c:v>194</c:v>
                </c:pt>
                <c:pt idx="207">
                  <c:v>133</c:v>
                </c:pt>
                <c:pt idx="208">
                  <c:v>103</c:v>
                </c:pt>
                <c:pt idx="209">
                  <c:v>78</c:v>
                </c:pt>
                <c:pt idx="210">
                  <c:v>107</c:v>
                </c:pt>
                <c:pt idx="211">
                  <c:v>79</c:v>
                </c:pt>
                <c:pt idx="212">
                  <c:v>115</c:v>
                </c:pt>
                <c:pt idx="213">
                  <c:v>90</c:v>
                </c:pt>
                <c:pt idx="214">
                  <c:v>32</c:v>
                </c:pt>
                <c:pt idx="215">
                  <c:v>172</c:v>
                </c:pt>
                <c:pt idx="216">
                  <c:v>62</c:v>
                </c:pt>
                <c:pt idx="217">
                  <c:v>32</c:v>
                </c:pt>
                <c:pt idx="218">
                  <c:v>124</c:v>
                </c:pt>
                <c:pt idx="219">
                  <c:v>23</c:v>
                </c:pt>
                <c:pt idx="220">
                  <c:v>175</c:v>
                </c:pt>
                <c:pt idx="221">
                  <c:v>56</c:v>
                </c:pt>
                <c:pt idx="222">
                  <c:v>154</c:v>
                </c:pt>
                <c:pt idx="223">
                  <c:v>168</c:v>
                </c:pt>
                <c:pt idx="224">
                  <c:v>125</c:v>
                </c:pt>
                <c:pt idx="225">
                  <c:v>184</c:v>
                </c:pt>
                <c:pt idx="226">
                  <c:v>181</c:v>
                </c:pt>
                <c:pt idx="227">
                  <c:v>133</c:v>
                </c:pt>
                <c:pt idx="228">
                  <c:v>221</c:v>
                </c:pt>
                <c:pt idx="229">
                  <c:v>192</c:v>
                </c:pt>
                <c:pt idx="230">
                  <c:v>202</c:v>
                </c:pt>
                <c:pt idx="231">
                  <c:v>161</c:v>
                </c:pt>
                <c:pt idx="232">
                  <c:v>147</c:v>
                </c:pt>
                <c:pt idx="233">
                  <c:v>94</c:v>
                </c:pt>
                <c:pt idx="234">
                  <c:v>59</c:v>
                </c:pt>
                <c:pt idx="235">
                  <c:v>231</c:v>
                </c:pt>
                <c:pt idx="236">
                  <c:v>108</c:v>
                </c:pt>
                <c:pt idx="237">
                  <c:v>88</c:v>
                </c:pt>
                <c:pt idx="238">
                  <c:v>91</c:v>
                </c:pt>
                <c:pt idx="239">
                  <c:v>187</c:v>
                </c:pt>
                <c:pt idx="240">
                  <c:v>61</c:v>
                </c:pt>
                <c:pt idx="241">
                  <c:v>76</c:v>
                </c:pt>
                <c:pt idx="242">
                  <c:v>0</c:v>
                </c:pt>
                <c:pt idx="243">
                  <c:v>111</c:v>
                </c:pt>
                <c:pt idx="244">
                  <c:v>161</c:v>
                </c:pt>
                <c:pt idx="245">
                  <c:v>56</c:v>
                </c:pt>
                <c:pt idx="246">
                  <c:v>198</c:v>
                </c:pt>
                <c:pt idx="247">
                  <c:v>35</c:v>
                </c:pt>
                <c:pt idx="248">
                  <c:v>121</c:v>
                </c:pt>
                <c:pt idx="249">
                  <c:v>203</c:v>
                </c:pt>
                <c:pt idx="250">
                  <c:v>22</c:v>
                </c:pt>
                <c:pt idx="251">
                  <c:v>122</c:v>
                </c:pt>
                <c:pt idx="252">
                  <c:v>114</c:v>
                </c:pt>
                <c:pt idx="253">
                  <c:v>168</c:v>
                </c:pt>
                <c:pt idx="254">
                  <c:v>29</c:v>
                </c:pt>
                <c:pt idx="255">
                  <c:v>37</c:v>
                </c:pt>
                <c:pt idx="256">
                  <c:v>117</c:v>
                </c:pt>
                <c:pt idx="257">
                  <c:v>122</c:v>
                </c:pt>
                <c:pt idx="258">
                  <c:v>97</c:v>
                </c:pt>
                <c:pt idx="259">
                  <c:v>12</c:v>
                </c:pt>
                <c:pt idx="260">
                  <c:v>158</c:v>
                </c:pt>
                <c:pt idx="261">
                  <c:v>60</c:v>
                </c:pt>
                <c:pt idx="262">
                  <c:v>124</c:v>
                </c:pt>
                <c:pt idx="263">
                  <c:v>0</c:v>
                </c:pt>
                <c:pt idx="264">
                  <c:v>66</c:v>
                </c:pt>
                <c:pt idx="265">
                  <c:v>24</c:v>
                </c:pt>
                <c:pt idx="266">
                  <c:v>135</c:v>
                </c:pt>
                <c:pt idx="267">
                  <c:v>92</c:v>
                </c:pt>
                <c:pt idx="268">
                  <c:v>61</c:v>
                </c:pt>
                <c:pt idx="269">
                  <c:v>140</c:v>
                </c:pt>
                <c:pt idx="270">
                  <c:v>90</c:v>
                </c:pt>
                <c:pt idx="271">
                  <c:v>34</c:v>
                </c:pt>
                <c:pt idx="272">
                  <c:v>105</c:v>
                </c:pt>
                <c:pt idx="273">
                  <c:v>121</c:v>
                </c:pt>
                <c:pt idx="274">
                  <c:v>93</c:v>
                </c:pt>
                <c:pt idx="275">
                  <c:v>136</c:v>
                </c:pt>
                <c:pt idx="276">
                  <c:v>22</c:v>
                </c:pt>
                <c:pt idx="277">
                  <c:v>63</c:v>
                </c:pt>
                <c:pt idx="278">
                  <c:v>124</c:v>
                </c:pt>
                <c:pt idx="279">
                  <c:v>0</c:v>
                </c:pt>
                <c:pt idx="280">
                  <c:v>117</c:v>
                </c:pt>
                <c:pt idx="281">
                  <c:v>27</c:v>
                </c:pt>
                <c:pt idx="282">
                  <c:v>195</c:v>
                </c:pt>
                <c:pt idx="283">
                  <c:v>104</c:v>
                </c:pt>
                <c:pt idx="284">
                  <c:v>44</c:v>
                </c:pt>
                <c:pt idx="285">
                  <c:v>176</c:v>
                </c:pt>
                <c:pt idx="286">
                  <c:v>130</c:v>
                </c:pt>
                <c:pt idx="287">
                  <c:v>95</c:v>
                </c:pt>
                <c:pt idx="288">
                  <c:v>163</c:v>
                </c:pt>
                <c:pt idx="289">
                  <c:v>170</c:v>
                </c:pt>
                <c:pt idx="290">
                  <c:v>151</c:v>
                </c:pt>
                <c:pt idx="291">
                  <c:v>183</c:v>
                </c:pt>
                <c:pt idx="292">
                  <c:v>130</c:v>
                </c:pt>
                <c:pt idx="293">
                  <c:v>88</c:v>
                </c:pt>
                <c:pt idx="294">
                  <c:v>0</c:v>
                </c:pt>
                <c:pt idx="295">
                  <c:v>160</c:v>
                </c:pt>
                <c:pt idx="296">
                  <c:v>101</c:v>
                </c:pt>
                <c:pt idx="297">
                  <c:v>43</c:v>
                </c:pt>
                <c:pt idx="298">
                  <c:v>101</c:v>
                </c:pt>
                <c:pt idx="299">
                  <c:v>178</c:v>
                </c:pt>
                <c:pt idx="300">
                  <c:v>131</c:v>
                </c:pt>
                <c:pt idx="301">
                  <c:v>95</c:v>
                </c:pt>
                <c:pt idx="302">
                  <c:v>36</c:v>
                </c:pt>
                <c:pt idx="303">
                  <c:v>114</c:v>
                </c:pt>
                <c:pt idx="304">
                  <c:v>176</c:v>
                </c:pt>
                <c:pt idx="305">
                  <c:v>119</c:v>
                </c:pt>
                <c:pt idx="306">
                  <c:v>199</c:v>
                </c:pt>
                <c:pt idx="307">
                  <c:v>80</c:v>
                </c:pt>
                <c:pt idx="308">
                  <c:v>118</c:v>
                </c:pt>
                <c:pt idx="309">
                  <c:v>185</c:v>
                </c:pt>
                <c:pt idx="310">
                  <c:v>39</c:v>
                </c:pt>
                <c:pt idx="311">
                  <c:v>114</c:v>
                </c:pt>
                <c:pt idx="312">
                  <c:v>123</c:v>
                </c:pt>
                <c:pt idx="313">
                  <c:v>193</c:v>
                </c:pt>
                <c:pt idx="314">
                  <c:v>55</c:v>
                </c:pt>
                <c:pt idx="315">
                  <c:v>78</c:v>
                </c:pt>
                <c:pt idx="316">
                  <c:v>83</c:v>
                </c:pt>
                <c:pt idx="317">
                  <c:v>109</c:v>
                </c:pt>
                <c:pt idx="318">
                  <c:v>97</c:v>
                </c:pt>
                <c:pt idx="319">
                  <c:v>72</c:v>
                </c:pt>
                <c:pt idx="320">
                  <c:v>178</c:v>
                </c:pt>
                <c:pt idx="321">
                  <c:v>100</c:v>
                </c:pt>
                <c:pt idx="322">
                  <c:v>194</c:v>
                </c:pt>
                <c:pt idx="323">
                  <c:v>0</c:v>
                </c:pt>
                <c:pt idx="324">
                  <c:v>0</c:v>
                </c:pt>
                <c:pt idx="325">
                  <c:v>82</c:v>
                </c:pt>
                <c:pt idx="326">
                  <c:v>192</c:v>
                </c:pt>
                <c:pt idx="327">
                  <c:v>131</c:v>
                </c:pt>
                <c:pt idx="328">
                  <c:v>58</c:v>
                </c:pt>
                <c:pt idx="329">
                  <c:v>153</c:v>
                </c:pt>
                <c:pt idx="330">
                  <c:v>127</c:v>
                </c:pt>
                <c:pt idx="331">
                  <c:v>36</c:v>
                </c:pt>
                <c:pt idx="332">
                  <c:v>81</c:v>
                </c:pt>
                <c:pt idx="333">
                  <c:v>112</c:v>
                </c:pt>
                <c:pt idx="334">
                  <c:v>144</c:v>
                </c:pt>
                <c:pt idx="335">
                  <c:v>179</c:v>
                </c:pt>
                <c:pt idx="336">
                  <c:v>4</c:v>
                </c:pt>
                <c:pt idx="337">
                  <c:v>73</c:v>
                </c:pt>
                <c:pt idx="338">
                  <c:v>93</c:v>
                </c:pt>
                <c:pt idx="339">
                  <c:v>0</c:v>
                </c:pt>
                <c:pt idx="340">
                  <c:v>156</c:v>
                </c:pt>
                <c:pt idx="341">
                  <c:v>68</c:v>
                </c:pt>
                <c:pt idx="342">
                  <c:v>244</c:v>
                </c:pt>
                <c:pt idx="343">
                  <c:v>183</c:v>
                </c:pt>
                <c:pt idx="344">
                  <c:v>77</c:v>
                </c:pt>
                <c:pt idx="345">
                  <c:v>180</c:v>
                </c:pt>
                <c:pt idx="346">
                  <c:v>142</c:v>
                </c:pt>
                <c:pt idx="347">
                  <c:v>75</c:v>
                </c:pt>
                <c:pt idx="348">
                  <c:v>204</c:v>
                </c:pt>
                <c:pt idx="349">
                  <c:v>134</c:v>
                </c:pt>
                <c:pt idx="350">
                  <c:v>207</c:v>
                </c:pt>
                <c:pt idx="351">
                  <c:v>127</c:v>
                </c:pt>
                <c:pt idx="352">
                  <c:v>199</c:v>
                </c:pt>
                <c:pt idx="353">
                  <c:v>82</c:v>
                </c:pt>
                <c:pt idx="354">
                  <c:v>39</c:v>
                </c:pt>
                <c:pt idx="355">
                  <c:v>172</c:v>
                </c:pt>
                <c:pt idx="356">
                  <c:v>49</c:v>
                </c:pt>
                <c:pt idx="357">
                  <c:v>39</c:v>
                </c:pt>
                <c:pt idx="358">
                  <c:v>96</c:v>
                </c:pt>
                <c:pt idx="359">
                  <c:v>189</c:v>
                </c:pt>
              </c:numCache>
            </c:numRef>
          </c:xVal>
          <c:yVal>
            <c:numRef>
              <c:f>Cleaned_Dataset!$L$2:$L$361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2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2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2</c:v>
                </c:pt>
                <c:pt idx="79">
                  <c:v>1</c:v>
                </c:pt>
                <c:pt idx="80">
                  <c:v>3</c:v>
                </c:pt>
                <c:pt idx="81">
                  <c:v>0</c:v>
                </c:pt>
                <c:pt idx="82">
                  <c:v>1</c:v>
                </c:pt>
                <c:pt idx="83">
                  <c:v>2</c:v>
                </c:pt>
                <c:pt idx="84">
                  <c:v>2</c:v>
                </c:pt>
                <c:pt idx="85">
                  <c:v>0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2</c:v>
                </c:pt>
                <c:pt idx="111">
                  <c:v>3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3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2</c:v>
                </c:pt>
                <c:pt idx="147">
                  <c:v>0</c:v>
                </c:pt>
                <c:pt idx="148">
                  <c:v>1</c:v>
                </c:pt>
                <c:pt idx="149">
                  <c:v>2</c:v>
                </c:pt>
                <c:pt idx="150">
                  <c:v>0</c:v>
                </c:pt>
                <c:pt idx="151">
                  <c:v>4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3</c:v>
                </c:pt>
                <c:pt idx="165">
                  <c:v>2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3</c:v>
                </c:pt>
                <c:pt idx="170">
                  <c:v>0</c:v>
                </c:pt>
                <c:pt idx="171">
                  <c:v>2</c:v>
                </c:pt>
                <c:pt idx="172">
                  <c:v>0</c:v>
                </c:pt>
                <c:pt idx="173">
                  <c:v>1</c:v>
                </c:pt>
                <c:pt idx="174">
                  <c:v>2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3</c:v>
                </c:pt>
                <c:pt idx="183">
                  <c:v>0</c:v>
                </c:pt>
                <c:pt idx="184">
                  <c:v>1</c:v>
                </c:pt>
                <c:pt idx="185">
                  <c:v>2</c:v>
                </c:pt>
                <c:pt idx="186">
                  <c:v>1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2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1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2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2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2</c:v>
                </c:pt>
                <c:pt idx="212">
                  <c:v>1</c:v>
                </c:pt>
                <c:pt idx="213">
                  <c:v>1</c:v>
                </c:pt>
                <c:pt idx="214">
                  <c:v>0</c:v>
                </c:pt>
                <c:pt idx="215">
                  <c:v>3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2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4</c:v>
                </c:pt>
                <c:pt idx="230">
                  <c:v>1</c:v>
                </c:pt>
                <c:pt idx="231">
                  <c:v>2</c:v>
                </c:pt>
                <c:pt idx="232">
                  <c:v>2</c:v>
                </c:pt>
                <c:pt idx="233">
                  <c:v>3</c:v>
                </c:pt>
                <c:pt idx="234">
                  <c:v>1</c:v>
                </c:pt>
                <c:pt idx="235">
                  <c:v>0</c:v>
                </c:pt>
                <c:pt idx="236">
                  <c:v>2</c:v>
                </c:pt>
                <c:pt idx="237">
                  <c:v>1</c:v>
                </c:pt>
                <c:pt idx="238">
                  <c:v>2</c:v>
                </c:pt>
                <c:pt idx="239">
                  <c:v>0</c:v>
                </c:pt>
                <c:pt idx="240">
                  <c:v>0</c:v>
                </c:pt>
                <c:pt idx="241">
                  <c:v>3</c:v>
                </c:pt>
                <c:pt idx="242">
                  <c:v>1</c:v>
                </c:pt>
                <c:pt idx="243">
                  <c:v>4</c:v>
                </c:pt>
                <c:pt idx="244">
                  <c:v>0</c:v>
                </c:pt>
                <c:pt idx="245">
                  <c:v>0</c:v>
                </c:pt>
                <c:pt idx="246">
                  <c:v>2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0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1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4</c:v>
                </c:pt>
                <c:pt idx="276">
                  <c:v>0</c:v>
                </c:pt>
                <c:pt idx="277">
                  <c:v>3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3</c:v>
                </c:pt>
                <c:pt idx="284">
                  <c:v>0</c:v>
                </c:pt>
                <c:pt idx="285">
                  <c:v>2</c:v>
                </c:pt>
                <c:pt idx="286">
                  <c:v>2</c:v>
                </c:pt>
                <c:pt idx="287">
                  <c:v>0</c:v>
                </c:pt>
                <c:pt idx="288">
                  <c:v>2</c:v>
                </c:pt>
                <c:pt idx="289">
                  <c:v>5</c:v>
                </c:pt>
                <c:pt idx="290">
                  <c:v>1</c:v>
                </c:pt>
                <c:pt idx="291">
                  <c:v>3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3</c:v>
                </c:pt>
                <c:pt idx="298">
                  <c:v>0</c:v>
                </c:pt>
                <c:pt idx="299">
                  <c:v>1</c:v>
                </c:pt>
                <c:pt idx="300">
                  <c:v>1</c:v>
                </c:pt>
                <c:pt idx="301">
                  <c:v>4</c:v>
                </c:pt>
                <c:pt idx="302">
                  <c:v>0</c:v>
                </c:pt>
                <c:pt idx="303">
                  <c:v>1</c:v>
                </c:pt>
                <c:pt idx="304">
                  <c:v>1</c:v>
                </c:pt>
                <c:pt idx="305">
                  <c:v>2</c:v>
                </c:pt>
                <c:pt idx="306">
                  <c:v>0</c:v>
                </c:pt>
                <c:pt idx="307">
                  <c:v>1</c:v>
                </c:pt>
                <c:pt idx="308">
                  <c:v>1</c:v>
                </c:pt>
                <c:pt idx="309">
                  <c:v>3</c:v>
                </c:pt>
                <c:pt idx="310">
                  <c:v>2</c:v>
                </c:pt>
                <c:pt idx="311">
                  <c:v>1</c:v>
                </c:pt>
                <c:pt idx="312">
                  <c:v>4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1</c:v>
                </c:pt>
                <c:pt idx="318">
                  <c:v>5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3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2</c:v>
                </c:pt>
                <c:pt idx="327">
                  <c:v>0</c:v>
                </c:pt>
                <c:pt idx="328">
                  <c:v>1</c:v>
                </c:pt>
                <c:pt idx="329">
                  <c:v>2</c:v>
                </c:pt>
                <c:pt idx="330">
                  <c:v>2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3</c:v>
                </c:pt>
                <c:pt idx="335">
                  <c:v>1</c:v>
                </c:pt>
                <c:pt idx="336">
                  <c:v>1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4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3</c:v>
                </c:pt>
                <c:pt idx="352">
                  <c:v>1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1</c:v>
                </c:pt>
                <c:pt idx="357">
                  <c:v>4</c:v>
                </c:pt>
                <c:pt idx="358">
                  <c:v>1</c:v>
                </c:pt>
                <c:pt idx="3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E3-4A91-A6FF-500BD8DB7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472752"/>
        <c:axId val="1155077711"/>
      </c:scatterChart>
      <c:valAx>
        <c:axId val="177147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077711"/>
        <c:crosses val="autoZero"/>
        <c:crossBetween val="midCat"/>
      </c:valAx>
      <c:valAx>
        <c:axId val="115507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7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[Software_Quality_Insight_Round3.xlsx]Pivot _Tables!PivotTable3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Test Coverage by Component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_Tables'!$E$1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_Tables'!$D$2:$D$8</c:f>
              <c:strCache>
                <c:ptCount val="6"/>
                <c:pt idx="0">
                  <c:v>Authentication</c:v>
                </c:pt>
                <c:pt idx="1">
                  <c:v>Data Access</c:v>
                </c:pt>
                <c:pt idx="2">
                  <c:v>Notifications</c:v>
                </c:pt>
                <c:pt idx="3">
                  <c:v>Payments</c:v>
                </c:pt>
                <c:pt idx="4">
                  <c:v>Reporting</c:v>
                </c:pt>
                <c:pt idx="5">
                  <c:v>User Interface</c:v>
                </c:pt>
              </c:strCache>
            </c:strRef>
          </c:cat>
          <c:val>
            <c:numRef>
              <c:f>'Pivot _Tables'!$E$2:$E$8</c:f>
              <c:numCache>
                <c:formatCode>General</c:formatCode>
                <c:ptCount val="6"/>
                <c:pt idx="0">
                  <c:v>61.249333333333325</c:v>
                </c:pt>
                <c:pt idx="1">
                  <c:v>75.362166666666639</c:v>
                </c:pt>
                <c:pt idx="2">
                  <c:v>62.662000000000027</c:v>
                </c:pt>
                <c:pt idx="3">
                  <c:v>62.744583333333331</c:v>
                </c:pt>
                <c:pt idx="4">
                  <c:v>71.976440677966096</c:v>
                </c:pt>
                <c:pt idx="5">
                  <c:v>67.111333333333334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9-4DC3-9F90-96E1C7F0A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5921375"/>
        <c:axId val="1155067631"/>
      </c:barChart>
      <c:catAx>
        <c:axId val="1155921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067631"/>
        <c:crosses val="autoZero"/>
        <c:auto val="1"/>
        <c:lblAlgn val="ctr"/>
        <c:lblOffset val="100"/>
        <c:noMultiLvlLbl val="0"/>
      </c:catAx>
      <c:valAx>
        <c:axId val="115506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92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[Software_Quality_Insight_Round3.xlsx]Pivot _Tables!PivotTable4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Component Defects Across Releases</a:t>
            </a:r>
          </a:p>
        </c:rich>
      </c:tx>
      <c:layout>
        <c:manualLayout>
          <c:xMode val="edge"/>
          <c:yMode val="edge"/>
          <c:x val="0.21099885740542826"/>
          <c:y val="0.110180173770916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_Tables'!$H$1:$H$2</c:f>
              <c:strCache>
                <c:ptCount val="1"/>
                <c:pt idx="0">
                  <c:v>v1.0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_Tables'!$G$3:$G$9</c:f>
              <c:strCache>
                <c:ptCount val="6"/>
                <c:pt idx="0">
                  <c:v>Authentication</c:v>
                </c:pt>
                <c:pt idx="1">
                  <c:v>Data Access</c:v>
                </c:pt>
                <c:pt idx="2">
                  <c:v>Notifications</c:v>
                </c:pt>
                <c:pt idx="3">
                  <c:v>Payments</c:v>
                </c:pt>
                <c:pt idx="4">
                  <c:v>Reporting</c:v>
                </c:pt>
                <c:pt idx="5">
                  <c:v>User Interface</c:v>
                </c:pt>
              </c:strCache>
            </c:strRef>
          </c:cat>
          <c:val>
            <c:numRef>
              <c:f>'Pivot _Tables'!$H$3:$H$9</c:f>
              <c:numCache>
                <c:formatCode>General</c:formatCode>
                <c:ptCount val="6"/>
                <c:pt idx="0">
                  <c:v>10</c:v>
                </c:pt>
                <c:pt idx="1">
                  <c:v>6</c:v>
                </c:pt>
                <c:pt idx="2">
                  <c:v>6</c:v>
                </c:pt>
                <c:pt idx="3">
                  <c:v>11</c:v>
                </c:pt>
                <c:pt idx="4">
                  <c:v>5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3-47C8-9038-E3770E93040C}"/>
            </c:ext>
          </c:extLst>
        </c:ser>
        <c:ser>
          <c:idx val="1"/>
          <c:order val="1"/>
          <c:tx>
            <c:strRef>
              <c:f>'Pivot _Tables'!$I$1:$I$2</c:f>
              <c:strCache>
                <c:ptCount val="1"/>
                <c:pt idx="0">
                  <c:v>v1.1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_Tables'!$G$3:$G$9</c:f>
              <c:strCache>
                <c:ptCount val="6"/>
                <c:pt idx="0">
                  <c:v>Authentication</c:v>
                </c:pt>
                <c:pt idx="1">
                  <c:v>Data Access</c:v>
                </c:pt>
                <c:pt idx="2">
                  <c:v>Notifications</c:v>
                </c:pt>
                <c:pt idx="3">
                  <c:v>Payments</c:v>
                </c:pt>
                <c:pt idx="4">
                  <c:v>Reporting</c:v>
                </c:pt>
                <c:pt idx="5">
                  <c:v>User Interface</c:v>
                </c:pt>
              </c:strCache>
            </c:strRef>
          </c:cat>
          <c:val>
            <c:numRef>
              <c:f>'Pivot _Tables'!$I$3:$I$9</c:f>
              <c:numCache>
                <c:formatCode>General</c:formatCode>
                <c:ptCount val="6"/>
                <c:pt idx="0">
                  <c:v>11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10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3-47C8-9038-E3770E93040C}"/>
            </c:ext>
          </c:extLst>
        </c:ser>
        <c:ser>
          <c:idx val="2"/>
          <c:order val="2"/>
          <c:tx>
            <c:strRef>
              <c:f>'Pivot _Tables'!$J$1:$J$2</c:f>
              <c:strCache>
                <c:ptCount val="1"/>
                <c:pt idx="0">
                  <c:v>v1.2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_Tables'!$G$3:$G$9</c:f>
              <c:strCache>
                <c:ptCount val="6"/>
                <c:pt idx="0">
                  <c:v>Authentication</c:v>
                </c:pt>
                <c:pt idx="1">
                  <c:v>Data Access</c:v>
                </c:pt>
                <c:pt idx="2">
                  <c:v>Notifications</c:v>
                </c:pt>
                <c:pt idx="3">
                  <c:v>Payments</c:v>
                </c:pt>
                <c:pt idx="4">
                  <c:v>Reporting</c:v>
                </c:pt>
                <c:pt idx="5">
                  <c:v>User Interface</c:v>
                </c:pt>
              </c:strCache>
            </c:strRef>
          </c:cat>
          <c:val>
            <c:numRef>
              <c:f>'Pivot _Tables'!$J$3:$J$9</c:f>
              <c:numCache>
                <c:formatCode>General</c:formatCode>
                <c:ptCount val="6"/>
                <c:pt idx="0">
                  <c:v>5</c:v>
                </c:pt>
                <c:pt idx="1">
                  <c:v>7</c:v>
                </c:pt>
                <c:pt idx="2">
                  <c:v>4</c:v>
                </c:pt>
                <c:pt idx="3">
                  <c:v>11</c:v>
                </c:pt>
                <c:pt idx="4">
                  <c:v>11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3-47C8-9038-E3770E93040C}"/>
            </c:ext>
          </c:extLst>
        </c:ser>
        <c:ser>
          <c:idx val="3"/>
          <c:order val="3"/>
          <c:tx>
            <c:strRef>
              <c:f>'Pivot _Tables'!$K$1:$K$2</c:f>
              <c:strCache>
                <c:ptCount val="1"/>
                <c:pt idx="0">
                  <c:v>v1.3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_Tables'!$G$3:$G$9</c:f>
              <c:strCache>
                <c:ptCount val="6"/>
                <c:pt idx="0">
                  <c:v>Authentication</c:v>
                </c:pt>
                <c:pt idx="1">
                  <c:v>Data Access</c:v>
                </c:pt>
                <c:pt idx="2">
                  <c:v>Notifications</c:v>
                </c:pt>
                <c:pt idx="3">
                  <c:v>Payments</c:v>
                </c:pt>
                <c:pt idx="4">
                  <c:v>Reporting</c:v>
                </c:pt>
                <c:pt idx="5">
                  <c:v>User Interface</c:v>
                </c:pt>
              </c:strCache>
            </c:strRef>
          </c:cat>
          <c:val>
            <c:numRef>
              <c:f>'Pivot _Tables'!$K$3:$K$9</c:f>
              <c:numCache>
                <c:formatCode>General</c:formatCode>
                <c:ptCount val="6"/>
                <c:pt idx="0">
                  <c:v>7</c:v>
                </c:pt>
                <c:pt idx="1">
                  <c:v>13</c:v>
                </c:pt>
                <c:pt idx="2">
                  <c:v>10</c:v>
                </c:pt>
                <c:pt idx="3">
                  <c:v>8</c:v>
                </c:pt>
                <c:pt idx="4">
                  <c:v>11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53-47C8-9038-E3770E93040C}"/>
            </c:ext>
          </c:extLst>
        </c:ser>
        <c:ser>
          <c:idx val="4"/>
          <c:order val="4"/>
          <c:tx>
            <c:strRef>
              <c:f>'Pivot _Tables'!$L$1:$L$2</c:f>
              <c:strCache>
                <c:ptCount val="1"/>
                <c:pt idx="0">
                  <c:v>v1.4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_Tables'!$G$3:$G$9</c:f>
              <c:strCache>
                <c:ptCount val="6"/>
                <c:pt idx="0">
                  <c:v>Authentication</c:v>
                </c:pt>
                <c:pt idx="1">
                  <c:v>Data Access</c:v>
                </c:pt>
                <c:pt idx="2">
                  <c:v>Notifications</c:v>
                </c:pt>
                <c:pt idx="3">
                  <c:v>Payments</c:v>
                </c:pt>
                <c:pt idx="4">
                  <c:v>Reporting</c:v>
                </c:pt>
                <c:pt idx="5">
                  <c:v>User Interface</c:v>
                </c:pt>
              </c:strCache>
            </c:strRef>
          </c:cat>
          <c:val>
            <c:numRef>
              <c:f>'Pivot _Tables'!$L$3:$L$9</c:f>
              <c:numCache>
                <c:formatCode>General</c:formatCode>
                <c:ptCount val="6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10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53-47C8-9038-E3770E93040C}"/>
            </c:ext>
          </c:extLst>
        </c:ser>
        <c:ser>
          <c:idx val="5"/>
          <c:order val="5"/>
          <c:tx>
            <c:strRef>
              <c:f>'Pivot _Tables'!$M$1:$M$2</c:f>
              <c:strCache>
                <c:ptCount val="1"/>
                <c:pt idx="0">
                  <c:v>v1.5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_Tables'!$G$3:$G$9</c:f>
              <c:strCache>
                <c:ptCount val="6"/>
                <c:pt idx="0">
                  <c:v>Authentication</c:v>
                </c:pt>
                <c:pt idx="1">
                  <c:v>Data Access</c:v>
                </c:pt>
                <c:pt idx="2">
                  <c:v>Notifications</c:v>
                </c:pt>
                <c:pt idx="3">
                  <c:v>Payments</c:v>
                </c:pt>
                <c:pt idx="4">
                  <c:v>Reporting</c:v>
                </c:pt>
                <c:pt idx="5">
                  <c:v>User Interface</c:v>
                </c:pt>
              </c:strCache>
            </c:strRef>
          </c:cat>
          <c:val>
            <c:numRef>
              <c:f>'Pivot _Tables'!$M$3:$M$9</c:f>
              <c:numCache>
                <c:formatCode>General</c:formatCode>
                <c:ptCount val="6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6</c:v>
                </c:pt>
                <c:pt idx="4">
                  <c:v>6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53-47C8-9038-E3770E930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962095"/>
        <c:axId val="1155055631"/>
      </c:barChart>
      <c:catAx>
        <c:axId val="115096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055631"/>
        <c:crosses val="autoZero"/>
        <c:auto val="1"/>
        <c:lblAlgn val="ctr"/>
        <c:lblOffset val="100"/>
        <c:noMultiLvlLbl val="0"/>
      </c:catAx>
      <c:valAx>
        <c:axId val="11550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6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104273</xdr:colOff>
      <xdr:row>19</xdr:row>
      <xdr:rowOff>0</xdr:rowOff>
    </xdr:from>
    <xdr:to>
      <xdr:col>8</xdr:col>
      <xdr:colOff>81413</xdr:colOff>
      <xdr:row>37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4654E9-E0B6-4668-9289-721E1C7A9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16042</xdr:colOff>
      <xdr:row>0</xdr:row>
      <xdr:rowOff>0</xdr:rowOff>
    </xdr:from>
    <xdr:to>
      <xdr:col>9</xdr:col>
      <xdr:colOff>272716</xdr:colOff>
      <xdr:row>17</xdr:row>
      <xdr:rowOff>16042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FDDC3A-A0F9-41D3-965B-C110526E6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184484</xdr:colOff>
      <xdr:row>19</xdr:row>
      <xdr:rowOff>31281</xdr:rowOff>
    </xdr:from>
    <xdr:to>
      <xdr:col>16</xdr:col>
      <xdr:colOff>214964</xdr:colOff>
      <xdr:row>34</xdr:row>
      <xdr:rowOff>16041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BE8719-7A6F-4F5C-BF2C-45AE837A1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449180</xdr:colOff>
      <xdr:row>0</xdr:row>
      <xdr:rowOff>0</xdr:rowOff>
    </xdr:from>
    <xdr:to>
      <xdr:col>17</xdr:col>
      <xdr:colOff>216568</xdr:colOff>
      <xdr:row>16</xdr:row>
      <xdr:rowOff>168441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9FB12F-076D-4151-B146-14A1D6DB9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344906</xdr:colOff>
      <xdr:row>19</xdr:row>
      <xdr:rowOff>19292</xdr:rowOff>
    </xdr:from>
    <xdr:to>
      <xdr:col>24</xdr:col>
      <xdr:colOff>342976</xdr:colOff>
      <xdr:row>33</xdr:row>
      <xdr:rowOff>177478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D74895-381B-4A18-BA29-B5683D8B9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a Devi" refreshedDate="46308.493748263892" createdVersion="8" refreshedVersion="8" minRefreshableVersion="3" recordCount="360" xr:uid="{D2976FC8-1037-4DEA-9CAA-B0E165CC9E24}">
  <cacheSource type="worksheet">
    <worksheetSource name="QualityData"/>
  </cacheSource>
  <cacheFields count="23">
    <cacheField name="release_date" numFmtId="14">
      <sharedItems containsSemiMixedTypes="0" containsNonDate="0" containsDate="1" containsString="0" minDate="2024-01-15T00:00:00" maxDate="2025-04-10T00:00:00"/>
    </cacheField>
    <cacheField name="version" numFmtId="0">
      <sharedItems count="6">
        <s v="v1.0"/>
        <s v="v1.1"/>
        <s v="v1.2"/>
        <s v="v1.3"/>
        <s v="v1.4"/>
        <s v="v1.5"/>
      </sharedItems>
    </cacheField>
    <cacheField name="module" numFmtId="0">
      <sharedItems count="60">
        <s v="MOD-001"/>
        <s v="MOD-002"/>
        <s v="MOD-003"/>
        <s v="MOD-004"/>
        <s v="MOD-005"/>
        <s v="MOD-006"/>
        <s v="MOD-007"/>
        <s v="MOD-008"/>
        <s v="MOD-009"/>
        <s v="MOD-010"/>
        <s v="MOD-011"/>
        <s v="MOD-012"/>
        <s v="MOD-013"/>
        <s v="MOD-014"/>
        <s v="MOD-015"/>
        <s v="MOD-016"/>
        <s v="MOD-017"/>
        <s v="MOD-018"/>
        <s v="MOD-019"/>
        <s v="MOD-020"/>
        <s v="MOD-021"/>
        <s v="MOD-022"/>
        <s v="MOD-023"/>
        <s v="MOD-024"/>
        <s v="MOD-025"/>
        <s v="MOD-026"/>
        <s v="MOD-027"/>
        <s v="MOD-028"/>
        <s v="MOD-029"/>
        <s v="MOD-030"/>
        <s v="MOD-031"/>
        <s v="MOD-032"/>
        <s v="MOD-033"/>
        <s v="MOD-034"/>
        <s v="MOD-035"/>
        <s v="MOD-036"/>
        <s v="MOD-037"/>
        <s v="MOD-038"/>
        <s v="MOD-039"/>
        <s v="MOD-040"/>
        <s v="MOD-041"/>
        <s v="MOD-042"/>
        <s v="MOD-043"/>
        <s v="MOD-044"/>
        <s v="MOD-045"/>
        <s v="MOD-046"/>
        <s v="MOD-047"/>
        <s v="MOD-048"/>
        <s v="MOD-049"/>
        <s v="MOD-050"/>
        <s v="MOD-051"/>
        <s v="MOD-052"/>
        <s v="MOD-053"/>
        <s v="MOD-054"/>
        <s v="MOD-055"/>
        <s v="MOD-056"/>
        <s v="MOD-057"/>
        <s v="MOD-058"/>
        <s v="MOD-059"/>
        <s v="MOD-060"/>
      </sharedItems>
    </cacheField>
    <cacheField name="component" numFmtId="0">
      <sharedItems count="6">
        <s v="Authentication"/>
        <s v="Payments"/>
        <s v="Reporting"/>
        <s v="User Interface"/>
        <s v="Data Access"/>
        <s v="Notifications"/>
      </sharedItems>
    </cacheField>
    <cacheField name="language" numFmtId="0">
      <sharedItems/>
    </cacheField>
    <cacheField name="size" numFmtId="0">
      <sharedItems containsSemiMixedTypes="0" containsString="0" containsNumber="1" containsInteger="1" minValue="80" maxValue="725"/>
    </cacheField>
    <cacheField name="complexity" numFmtId="0">
      <sharedItems containsString="0" containsBlank="1" containsNumber="1" minValue="1" maxValue="68.639999999999901"/>
    </cacheField>
    <cacheField name="coupling" numFmtId="0">
      <sharedItems containsString="0" containsBlank="1" containsNumber="1" minValue="0.05" maxValue="0.99"/>
    </cacheField>
    <cacheField name="churn" numFmtId="0">
      <sharedItems containsString="0" containsBlank="1" containsNumber="1" containsInteger="1" minValue="0" maxValue="244"/>
    </cacheField>
    <cacheField name="test_coverage" numFmtId="0">
      <sharedItems containsString="0" containsBlank="1" containsNumber="1" minValue="17.899999999999999" maxValue="100"/>
    </cacheField>
    <cacheField name="complexity_outlier_flag" numFmtId="0">
      <sharedItems containsBlank="1"/>
    </cacheField>
    <cacheField name="defect_count" numFmtId="0">
      <sharedItems containsSemiMixedTypes="0" containsString="0" containsNumber="1" containsInteger="1" minValue="0" maxValue="5"/>
    </cacheField>
    <cacheField name="severity" numFmtId="0">
      <sharedItems/>
    </cacheField>
    <cacheField name="commit_count" numFmtId="0">
      <sharedItems containsString="0" containsBlank="1" containsNumber="1" containsInteger="1" minValue="4" maxValue="28"/>
    </cacheField>
    <cacheField name="contributors" numFmtId="0">
      <sharedItems containsString="0" containsBlank="1" containsNumber="1" containsInteger="1" minValue="1" maxValue="15"/>
    </cacheField>
    <cacheField name="changed_lines" numFmtId="0">
      <sharedItems containsString="0" containsBlank="1" containsNumber="1" containsInteger="1" minValue="1" maxValue="373"/>
    </cacheField>
    <cacheField name="defect_record_missing" numFmtId="0">
      <sharedItems/>
    </cacheField>
    <cacheField name="defects_per_1000_lines" numFmtId="0">
      <sharedItems containsSemiMixedTypes="0" containsString="0" containsNumber="1" minValue="0" maxValue="37.5"/>
    </cacheField>
    <cacheField name="churn_per_kloc" numFmtId="0">
      <sharedItems containsString="0" containsBlank="1" containsNumber="1" minValue="1.9193857965451" maxValue="3837.5"/>
    </cacheField>
    <cacheField name="complexity_band" numFmtId="0">
      <sharedItems containsBlank="1"/>
    </cacheField>
    <cacheField name="low_coverage_flag" numFmtId="0">
      <sharedItems containsSemiMixedTypes="0" containsString="0" containsNumber="1" containsInteger="1" minValue="0" maxValue="1"/>
    </cacheField>
    <cacheField name="release_month" numFmtId="0">
      <sharedItems containsSemiMixedTypes="0" containsString="0" containsNumber="1" containsInteger="1" minValue="1" maxValue="10"/>
    </cacheField>
    <cacheField name="release_quarter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d v="2024-01-15T00:00:00"/>
    <x v="0"/>
    <x v="0"/>
    <x v="0"/>
    <s v="Python"/>
    <n v="103"/>
    <n v="29.57"/>
    <n v="0.91700000000000004"/>
    <n v="112"/>
    <n v="74.040000000000006"/>
    <b v="0"/>
    <n v="1"/>
    <s v="Low"/>
    <n v="11"/>
    <n v="2"/>
    <n v="134"/>
    <b v="0"/>
    <n v="9.7087378640776691"/>
    <n v="1300.9708737864"/>
    <s v="Medium"/>
    <n v="0"/>
    <n v="1"/>
    <n v="1"/>
  </r>
  <r>
    <d v="2024-01-15T00:00:00"/>
    <x v="0"/>
    <x v="1"/>
    <x v="1"/>
    <s v="C#"/>
    <n v="215"/>
    <n v="36.659999999999997"/>
    <n v="0.55200000000000005"/>
    <n v="31"/>
    <n v="48.17"/>
    <b v="0"/>
    <n v="2"/>
    <s v="Medium"/>
    <n v="10"/>
    <n v="9"/>
    <n v="36"/>
    <b v="0"/>
    <n v="9.3023255813953494"/>
    <n v="167.44186046511601"/>
    <s v="Medium"/>
    <n v="1"/>
    <n v="1"/>
    <n v="1"/>
  </r>
  <r>
    <d v="2024-01-15T00:00:00"/>
    <x v="0"/>
    <x v="2"/>
    <x v="2"/>
    <s v="Java"/>
    <n v="176"/>
    <n v="29.94"/>
    <n v="0.60799999999999998"/>
    <n v="30"/>
    <n v="43.12"/>
    <b v="0"/>
    <n v="0"/>
    <s v="Unknown"/>
    <n v="13"/>
    <n v="1"/>
    <n v="59"/>
    <b v="0"/>
    <n v="0"/>
    <n v="335.22727272727201"/>
    <s v="Medium"/>
    <n v="1"/>
    <n v="1"/>
    <n v="1"/>
  </r>
  <r>
    <d v="2024-01-15T00:00:00"/>
    <x v="0"/>
    <x v="3"/>
    <x v="3"/>
    <s v="TypeScript"/>
    <n v="150"/>
    <n v="44.45"/>
    <n v="8.7999999999999995E-2"/>
    <n v="52"/>
    <n v="76.2"/>
    <b v="0"/>
    <n v="1"/>
    <s v="Medium"/>
    <n v="13"/>
    <n v="6"/>
    <n v="76"/>
    <b v="0"/>
    <n v="6.6666666666666599"/>
    <n v="506.666666666666"/>
    <s v="High"/>
    <n v="0"/>
    <n v="1"/>
    <n v="1"/>
  </r>
  <r>
    <d v="2024-01-15T00:00:00"/>
    <x v="0"/>
    <x v="4"/>
    <x v="4"/>
    <s v="C#"/>
    <n v="235"/>
    <n v="37.18"/>
    <n v="0.49"/>
    <n v="144"/>
    <n v="79.55"/>
    <b v="0"/>
    <n v="2"/>
    <s v="Low"/>
    <n v="17"/>
    <n v="6"/>
    <n v="237"/>
    <b v="0"/>
    <n v="8.5106382978723403"/>
    <n v="1008.5106382978699"/>
    <s v="Medium"/>
    <n v="0"/>
    <n v="1"/>
    <n v="1"/>
  </r>
  <r>
    <d v="2024-01-15T00:00:00"/>
    <x v="0"/>
    <x v="5"/>
    <x v="5"/>
    <s v="Java"/>
    <n v="333"/>
    <n v="20.68"/>
    <n v="0.36599999999999999"/>
    <n v="163"/>
    <n v="32.89"/>
    <b v="0"/>
    <n v="3"/>
    <s v="Critical"/>
    <n v="13"/>
    <n v="6"/>
    <n v="229"/>
    <b v="0"/>
    <n v="9.0090090090090094"/>
    <n v="687.687687687687"/>
    <s v="Medium"/>
    <n v="1"/>
    <n v="1"/>
    <n v="1"/>
  </r>
  <r>
    <d v="2024-01-15T00:00:00"/>
    <x v="0"/>
    <x v="6"/>
    <x v="0"/>
    <s v="TypeScript"/>
    <n v="199"/>
    <n v="8.76"/>
    <n v="0.20399999999999999"/>
    <n v="139"/>
    <n v="36.61"/>
    <b v="0"/>
    <n v="1"/>
    <s v="Critical"/>
    <n v="14"/>
    <n v="5"/>
    <n v="192"/>
    <b v="0"/>
    <n v="5.0251256281407004"/>
    <n v="964.82412060301499"/>
    <s v="Low"/>
    <n v="1"/>
    <n v="1"/>
    <n v="1"/>
  </r>
  <r>
    <d v="2024-01-15T00:00:00"/>
    <x v="0"/>
    <x v="7"/>
    <x v="1"/>
    <s v="JavaScript"/>
    <n v="104"/>
    <n v="9.08"/>
    <n v="0.63800000000000001"/>
    <n v="90"/>
    <n v="66.525000000000006"/>
    <b v="0"/>
    <n v="3"/>
    <s v="Low"/>
    <n v="8"/>
    <n v="3"/>
    <n v="146"/>
    <b v="0"/>
    <n v="28.846153846153801"/>
    <n v="1403.8461538461499"/>
    <s v="Low"/>
    <n v="0"/>
    <n v="1"/>
    <n v="1"/>
  </r>
  <r>
    <d v="2024-01-15T00:00:00"/>
    <x v="0"/>
    <x v="8"/>
    <x v="2"/>
    <s v="Java"/>
    <n v="250"/>
    <n v="18.86"/>
    <n v="0.68300000000000005"/>
    <n v="73"/>
    <n v="98.75"/>
    <b v="0"/>
    <n v="0"/>
    <s v="Unknown"/>
    <n v="8"/>
    <n v="6"/>
    <n v="121"/>
    <b v="0"/>
    <n v="0"/>
    <n v="484"/>
    <s v="Low"/>
    <n v="0"/>
    <n v="1"/>
    <n v="1"/>
  </r>
  <r>
    <d v="2024-01-15T00:00:00"/>
    <x v="0"/>
    <x v="9"/>
    <x v="3"/>
    <s v="TypeScript"/>
    <n v="155"/>
    <n v="37.369999999999997"/>
    <n v="0.36099999999999999"/>
    <n v="168"/>
    <n v="63.81"/>
    <b v="0"/>
    <n v="4"/>
    <s v="Low"/>
    <n v="12"/>
    <n v="8"/>
    <n v="242"/>
    <b v="0"/>
    <n v="25.806451612903199"/>
    <n v="1561.2903225806399"/>
    <s v="Medium"/>
    <n v="0"/>
    <n v="1"/>
    <n v="1"/>
  </r>
  <r>
    <d v="2024-01-15T00:00:00"/>
    <x v="0"/>
    <x v="10"/>
    <x v="4"/>
    <s v="JavaScript"/>
    <n v="346"/>
    <n v="38.270000000000003"/>
    <n v="0.42599999999999999"/>
    <n v="14"/>
    <n v="74.08"/>
    <b v="0"/>
    <n v="0"/>
    <s v="Unknown"/>
    <n v="11"/>
    <n v="5"/>
    <n v="52"/>
    <b v="0"/>
    <n v="0"/>
    <n v="150.28901734103999"/>
    <s v="Medium"/>
    <n v="0"/>
    <n v="1"/>
    <n v="1"/>
  </r>
  <r>
    <d v="2024-01-15T00:00:00"/>
    <x v="0"/>
    <x v="11"/>
    <x v="5"/>
    <s v="Python"/>
    <n v="166"/>
    <n v="37.950000000000003"/>
    <n v="0.216"/>
    <n v="109"/>
    <n v="66.66"/>
    <b v="0"/>
    <n v="0"/>
    <s v="Unknown"/>
    <n v="11"/>
    <n v="8"/>
    <n v="116"/>
    <b v="0"/>
    <n v="0"/>
    <n v="698.79518072289102"/>
    <s v="Medium"/>
    <n v="0"/>
    <n v="1"/>
    <n v="1"/>
  </r>
  <r>
    <d v="2024-01-15T00:00:00"/>
    <x v="0"/>
    <x v="12"/>
    <x v="0"/>
    <s v="TypeScript"/>
    <n v="295"/>
    <n v="16.649999999999999"/>
    <n v="0.76"/>
    <n v="110"/>
    <n v="60.35"/>
    <b v="0"/>
    <n v="0"/>
    <s v="Unknown"/>
    <n v="19"/>
    <n v="5"/>
    <n v="130"/>
    <b v="0"/>
    <n v="0"/>
    <n v="440.67796610169398"/>
    <s v="Low"/>
    <n v="0"/>
    <n v="1"/>
    <n v="1"/>
  </r>
  <r>
    <d v="2024-01-15T00:00:00"/>
    <x v="0"/>
    <x v="13"/>
    <x v="1"/>
    <s v="JavaScript"/>
    <n v="105"/>
    <n v="23.56"/>
    <n v="0.58599999999999997"/>
    <n v="173"/>
    <n v="59.9"/>
    <b v="0"/>
    <n v="0"/>
    <s v="Unknown"/>
    <n v="13"/>
    <n v="12"/>
    <n v="176"/>
    <b v="0"/>
    <n v="0"/>
    <n v="1676.19047619047"/>
    <s v="Medium"/>
    <n v="1"/>
    <n v="1"/>
    <n v="1"/>
  </r>
  <r>
    <d v="2024-01-15T00:00:00"/>
    <x v="0"/>
    <x v="14"/>
    <x v="2"/>
    <s v="Python"/>
    <n v="513"/>
    <n v="19.48"/>
    <n v="0.313"/>
    <n v="6"/>
    <n v="50.74"/>
    <b v="0"/>
    <n v="0"/>
    <s v="Unknown"/>
    <n v="5"/>
    <n v="6"/>
    <n v="18"/>
    <b v="0"/>
    <n v="0"/>
    <n v="35.087719298245602"/>
    <s v="Low"/>
    <n v="1"/>
    <n v="1"/>
    <n v="1"/>
  </r>
  <r>
    <d v="2024-01-15T00:00:00"/>
    <x v="0"/>
    <x v="15"/>
    <x v="3"/>
    <s v="C#"/>
    <n v="128"/>
    <n v="27.88"/>
    <n v="0.58499999999999996"/>
    <n v="44"/>
    <n v="95.45"/>
    <b v="0"/>
    <n v="0"/>
    <s v="Unknown"/>
    <n v="13"/>
    <n v="3"/>
    <n v="70"/>
    <b v="0"/>
    <n v="0"/>
    <n v="546.875"/>
    <s v="Medium"/>
    <n v="0"/>
    <n v="1"/>
    <n v="1"/>
  </r>
  <r>
    <d v="2024-01-15T00:00:00"/>
    <x v="0"/>
    <x v="16"/>
    <x v="4"/>
    <s v="JavaScript"/>
    <n v="146"/>
    <n v="30.36"/>
    <n v="0.56100000000000005"/>
    <n v="32"/>
    <n v="87.13"/>
    <b v="0"/>
    <n v="1"/>
    <s v="High"/>
    <n v="10"/>
    <n v="1"/>
    <n v="50"/>
    <b v="0"/>
    <n v="6.8493150684931496"/>
    <n v="342.46575342465701"/>
    <s v="Medium"/>
    <n v="0"/>
    <n v="1"/>
    <n v="1"/>
  </r>
  <r>
    <d v="2024-01-15T00:00:00"/>
    <x v="0"/>
    <x v="17"/>
    <x v="5"/>
    <s v="Python"/>
    <n v="243"/>
    <n v="10.75"/>
    <n v="0.108"/>
    <n v="109"/>
    <n v="32.020000000000003"/>
    <b v="0"/>
    <n v="0"/>
    <s v="Unknown"/>
    <n v="9"/>
    <n v="7"/>
    <n v="173"/>
    <b v="0"/>
    <n v="0"/>
    <n v="711.93415637860005"/>
    <s v="Low"/>
    <n v="1"/>
    <n v="1"/>
    <n v="1"/>
  </r>
  <r>
    <d v="2024-01-15T00:00:00"/>
    <x v="0"/>
    <x v="18"/>
    <x v="0"/>
    <s v="C#"/>
    <n v="725"/>
    <n v="38.64"/>
    <n v="0.30099999999999999"/>
    <n v="122"/>
    <n v="44.8"/>
    <b v="0"/>
    <n v="3"/>
    <s v="Unknown"/>
    <n v="13"/>
    <n v="2"/>
    <n v="214"/>
    <b v="0"/>
    <n v="4.13793103448275"/>
    <n v="295.17241379310298"/>
    <s v="Medium"/>
    <n v="1"/>
    <n v="1"/>
    <n v="1"/>
  </r>
  <r>
    <d v="2024-01-15T00:00:00"/>
    <x v="0"/>
    <x v="19"/>
    <x v="1"/>
    <s v="Java"/>
    <n v="193"/>
    <n v="27.93"/>
    <n v="0.121"/>
    <n v="60"/>
    <n v="71.12"/>
    <b v="0"/>
    <n v="2"/>
    <s v="Low"/>
    <n v="8"/>
    <n v="9"/>
    <n v="89"/>
    <b v="0"/>
    <n v="10.3626943005181"/>
    <n v="461.13989637305599"/>
    <s v="Medium"/>
    <n v="0"/>
    <n v="1"/>
    <n v="1"/>
  </r>
  <r>
    <d v="2024-01-15T00:00:00"/>
    <x v="0"/>
    <x v="20"/>
    <x v="2"/>
    <s v="Python"/>
    <n v="225"/>
    <n v="33.950000000000003"/>
    <n v="0.60299999999999998"/>
    <n v="148"/>
    <n v="48.96"/>
    <b v="0"/>
    <n v="1"/>
    <s v="Low"/>
    <n v="18"/>
    <n v="9"/>
    <n v="256"/>
    <b v="0"/>
    <n v="4.4444444444444402"/>
    <n v="1137.7777777777701"/>
    <s v="Medium"/>
    <n v="1"/>
    <n v="1"/>
    <n v="1"/>
  </r>
  <r>
    <d v="2024-01-15T00:00:00"/>
    <x v="0"/>
    <x v="21"/>
    <x v="3"/>
    <s v="C#"/>
    <n v="80"/>
    <n v="32.25"/>
    <n v="0.76300000000000001"/>
    <n v="91"/>
    <n v="47.27"/>
    <b v="0"/>
    <n v="1"/>
    <s v="Low"/>
    <n v="7"/>
    <n v="6"/>
    <n v="69"/>
    <b v="0"/>
    <n v="12.5"/>
    <n v="862.5"/>
    <s v="Medium"/>
    <n v="1"/>
    <n v="1"/>
    <n v="1"/>
  </r>
  <r>
    <d v="2024-01-15T00:00:00"/>
    <x v="0"/>
    <x v="22"/>
    <x v="4"/>
    <s v="Java"/>
    <n v="331"/>
    <n v="18.239999999999998"/>
    <n v="0.66300000000000003"/>
    <n v="157"/>
    <n v="45.44"/>
    <b v="0"/>
    <n v="0"/>
    <s v="Unknown"/>
    <n v="16"/>
    <n v="5"/>
    <n v="240"/>
    <b v="0"/>
    <n v="0"/>
    <n v="725.07552870090603"/>
    <s v="Low"/>
    <n v="1"/>
    <n v="1"/>
    <n v="1"/>
  </r>
  <r>
    <d v="2024-01-15T00:00:00"/>
    <x v="0"/>
    <x v="23"/>
    <x v="5"/>
    <s v="TypeScript"/>
    <n v="168"/>
    <n v="31.88"/>
    <n v="0.124"/>
    <n v="49"/>
    <n v="65.540000000000006"/>
    <b v="0"/>
    <n v="0"/>
    <s v="Unknown"/>
    <n v="15"/>
    <n v="9"/>
    <n v="94"/>
    <b v="0"/>
    <n v="0"/>
    <n v="559.52380952380895"/>
    <s v="Medium"/>
    <n v="0"/>
    <n v="1"/>
    <n v="1"/>
  </r>
  <r>
    <d v="2024-01-15T00:00:00"/>
    <x v="0"/>
    <x v="24"/>
    <x v="0"/>
    <s v="C#"/>
    <n v="292"/>
    <n v="10.66"/>
    <n v="0.13"/>
    <n v="0"/>
    <n v="53.8"/>
    <b v="0"/>
    <n v="0"/>
    <s v="Unknown"/>
    <n v="8"/>
    <n v="1"/>
    <n v="1"/>
    <b v="0"/>
    <n v="0"/>
    <n v="3.4246575342465699"/>
    <s v="Low"/>
    <n v="1"/>
    <n v="1"/>
    <n v="1"/>
  </r>
  <r>
    <d v="2024-01-15T00:00:00"/>
    <x v="0"/>
    <x v="25"/>
    <x v="1"/>
    <s v="Java"/>
    <n v="521"/>
    <n v="24.24"/>
    <n v="0.33800000000000002"/>
    <n v="73"/>
    <n v="79.08"/>
    <b v="0"/>
    <n v="0"/>
    <s v="Unknown"/>
    <n v="6"/>
    <n v="9"/>
    <n v="111"/>
    <b v="0"/>
    <n v="0"/>
    <n v="213.05182341650601"/>
    <s v="Medium"/>
    <n v="0"/>
    <n v="1"/>
    <n v="1"/>
  </r>
  <r>
    <d v="2024-01-15T00:00:00"/>
    <x v="0"/>
    <x v="26"/>
    <x v="2"/>
    <s v="TypeScript"/>
    <n v="80"/>
    <n v="45.06"/>
    <n v="0.248"/>
    <n v="172"/>
    <n v="59.12"/>
    <b v="0"/>
    <n v="3"/>
    <s v="Medium"/>
    <n v="17"/>
    <n v="1"/>
    <n v="288"/>
    <b v="0"/>
    <n v="37.5"/>
    <n v="3600"/>
    <s v="High"/>
    <n v="1"/>
    <n v="1"/>
    <n v="1"/>
  </r>
  <r>
    <d v="2024-01-15T00:00:00"/>
    <x v="0"/>
    <x v="27"/>
    <x v="3"/>
    <s v="JavaScript"/>
    <n v="166"/>
    <n v="9.9499999999999993"/>
    <n v="0.50600000000000001"/>
    <n v="81"/>
    <n v="77.37"/>
    <b v="0"/>
    <n v="0"/>
    <s v="Unknown"/>
    <n v="12"/>
    <n v="3"/>
    <n v="106"/>
    <b v="0"/>
    <n v="0"/>
    <n v="638.55421686746899"/>
    <s v="Low"/>
    <n v="0"/>
    <n v="1"/>
    <n v="1"/>
  </r>
  <r>
    <d v="2024-01-15T00:00:00"/>
    <x v="0"/>
    <x v="28"/>
    <x v="4"/>
    <s v="Java"/>
    <n v="391"/>
    <n v="27.39"/>
    <n v="0.443"/>
    <n v="10"/>
    <n v="94.52"/>
    <b v="0"/>
    <n v="0"/>
    <s v="Unknown"/>
    <n v="6"/>
    <n v="13"/>
    <n v="38"/>
    <b v="0"/>
    <n v="0"/>
    <n v="97.186700767263403"/>
    <s v="Medium"/>
    <n v="0"/>
    <n v="1"/>
    <n v="1"/>
  </r>
  <r>
    <d v="2024-01-15T00:00:00"/>
    <x v="0"/>
    <x v="29"/>
    <x v="5"/>
    <s v="TypeScript"/>
    <n v="432"/>
    <n v="40.42"/>
    <n v="0.58399999999999996"/>
    <n v="140"/>
    <n v="87.38"/>
    <b v="0"/>
    <n v="0"/>
    <s v="Unknown"/>
    <n v="10"/>
    <n v="5"/>
    <n v="173"/>
    <b v="0"/>
    <n v="0"/>
    <n v="400.46296296296299"/>
    <s v="High"/>
    <n v="0"/>
    <n v="1"/>
    <n v="1"/>
  </r>
  <r>
    <d v="2024-01-15T00:00:00"/>
    <x v="0"/>
    <x v="30"/>
    <x v="0"/>
    <s v="JavaScript"/>
    <n v="246"/>
    <n v="17.64"/>
    <n v="0.79700000000000004"/>
    <n v="123"/>
    <n v="86.37"/>
    <b v="0"/>
    <n v="1"/>
    <s v="Low"/>
    <n v="11"/>
    <n v="10"/>
    <n v="192"/>
    <b v="0"/>
    <n v="4.0650406504065"/>
    <n v="780.487804878048"/>
    <s v="Low"/>
    <n v="0"/>
    <n v="1"/>
    <n v="1"/>
  </r>
  <r>
    <d v="2024-01-15T00:00:00"/>
    <x v="0"/>
    <x v="31"/>
    <x v="1"/>
    <s v="Python"/>
    <n v="116"/>
    <n v="42.7"/>
    <n v="0.81100000000000005"/>
    <n v="21"/>
    <n v="65.69"/>
    <b v="0"/>
    <n v="1"/>
    <s v="High"/>
    <n v="13"/>
    <n v="9"/>
    <n v="39"/>
    <b v="0"/>
    <n v="8.6206896551724093"/>
    <n v="336.20689655172401"/>
    <s v="High"/>
    <n v="0"/>
    <n v="1"/>
    <n v="1"/>
  </r>
  <r>
    <d v="2024-01-15T00:00:00"/>
    <x v="0"/>
    <x v="32"/>
    <x v="2"/>
    <s v="TypeScript"/>
    <n v="128"/>
    <n v="45.18"/>
    <n v="0.23799999999999999"/>
    <n v="84"/>
    <n v="93.07"/>
    <b v="0"/>
    <n v="0"/>
    <s v="Unknown"/>
    <n v="8"/>
    <n v="1"/>
    <n v="100"/>
    <b v="0"/>
    <n v="0"/>
    <n v="781.25"/>
    <s v="High"/>
    <n v="0"/>
    <n v="1"/>
    <n v="1"/>
  </r>
  <r>
    <d v="2024-01-15T00:00:00"/>
    <x v="0"/>
    <x v="33"/>
    <x v="3"/>
    <s v="JavaScript"/>
    <n v="132"/>
    <n v="6.16"/>
    <n v="0.73199999999999998"/>
    <n v="124"/>
    <n v="56.35"/>
    <b v="0"/>
    <n v="0"/>
    <s v="Unknown"/>
    <n v="11"/>
    <n v="4"/>
    <n v="123"/>
    <b v="0"/>
    <n v="0"/>
    <n v="931.81818181818096"/>
    <s v="Low"/>
    <n v="1"/>
    <n v="1"/>
    <n v="1"/>
  </r>
  <r>
    <d v="2024-01-15T00:00:00"/>
    <x v="0"/>
    <x v="34"/>
    <x v="4"/>
    <s v="Python"/>
    <n v="225"/>
    <n v="27.57"/>
    <n v="0.78800000000000003"/>
    <n v="88"/>
    <n v="74.02"/>
    <b v="0"/>
    <n v="1"/>
    <s v="High"/>
    <n v="9"/>
    <n v="4"/>
    <n v="35"/>
    <b v="0"/>
    <n v="4.4444444444444402"/>
    <n v="155.555555555555"/>
    <s v="Medium"/>
    <n v="0"/>
    <n v="1"/>
    <n v="1"/>
  </r>
  <r>
    <d v="2024-01-15T00:00:00"/>
    <x v="0"/>
    <x v="35"/>
    <x v="5"/>
    <s v="C#"/>
    <n v="262"/>
    <n v="31.215"/>
    <n v="0.58599999999999997"/>
    <n v="137"/>
    <n v="65.099999999999994"/>
    <b v="0"/>
    <n v="1"/>
    <s v="Medium"/>
    <n v="11"/>
    <n v="5"/>
    <n v="213"/>
    <b v="0"/>
    <n v="3.8167938931297698"/>
    <n v="812.97709923664104"/>
    <s v="Medium"/>
    <n v="0"/>
    <n v="1"/>
    <n v="1"/>
  </r>
  <r>
    <d v="2024-01-15T00:00:00"/>
    <x v="0"/>
    <x v="36"/>
    <x v="0"/>
    <s v="JavaScript"/>
    <n v="220"/>
    <n v="23.13"/>
    <n v="0.19900000000000001"/>
    <n v="59"/>
    <n v="47.77"/>
    <b v="0"/>
    <n v="1"/>
    <s v="High"/>
    <n v="14"/>
    <n v="1"/>
    <n v="127"/>
    <b v="0"/>
    <n v="4.5454545454545396"/>
    <n v="577.27272727272702"/>
    <s v="Medium"/>
    <n v="1"/>
    <n v="1"/>
    <n v="1"/>
  </r>
  <r>
    <d v="2024-01-15T00:00:00"/>
    <x v="0"/>
    <x v="37"/>
    <x v="1"/>
    <s v="Python"/>
    <n v="217"/>
    <n v="22.92"/>
    <n v="0.182"/>
    <n v="95"/>
    <n v="34.24"/>
    <b v="0"/>
    <n v="0"/>
    <s v="Unknown"/>
    <n v="14"/>
    <n v="7"/>
    <n v="112"/>
    <b v="0"/>
    <n v="0"/>
    <n v="516.12903225806394"/>
    <s v="Medium"/>
    <n v="1"/>
    <n v="1"/>
    <n v="1"/>
  </r>
  <r>
    <d v="2024-01-15T00:00:00"/>
    <x v="0"/>
    <x v="38"/>
    <x v="2"/>
    <s v="C#"/>
    <n v="243"/>
    <n v="28.18"/>
    <n v="0.63"/>
    <n v="95"/>
    <n v="85.95"/>
    <b v="0"/>
    <n v="1"/>
    <s v="Low"/>
    <n v="11"/>
    <n v="6"/>
    <n v="178"/>
    <b v="0"/>
    <n v="4.1152263374485596"/>
    <n v="732.51028806584304"/>
    <s v="Medium"/>
    <n v="0"/>
    <n v="1"/>
    <n v="1"/>
  </r>
  <r>
    <d v="2024-01-15T00:00:00"/>
    <x v="0"/>
    <x v="39"/>
    <x v="3"/>
    <s v="Java"/>
    <n v="129"/>
    <n v="33.61"/>
    <n v="0.21"/>
    <n v="0"/>
    <n v="86.03"/>
    <b v="0"/>
    <n v="0"/>
    <s v="Unknown"/>
    <n v="9"/>
    <n v="6"/>
    <n v="1"/>
    <b v="0"/>
    <n v="0"/>
    <n v="7.75193798449612"/>
    <s v="Medium"/>
    <n v="0"/>
    <n v="1"/>
    <n v="1"/>
  </r>
  <r>
    <d v="2024-01-15T00:00:00"/>
    <x v="0"/>
    <x v="40"/>
    <x v="4"/>
    <s v="Python"/>
    <n v="203"/>
    <n v="22.88"/>
    <n v="0.71799999999999997"/>
    <n v="107"/>
    <n v="92.01"/>
    <b v="0"/>
    <n v="0"/>
    <s v="Unknown"/>
    <n v="17"/>
    <n v="5"/>
    <n v="126"/>
    <b v="0"/>
    <n v="0"/>
    <n v="620.68965517241304"/>
    <s v="Medium"/>
    <n v="0"/>
    <n v="1"/>
    <n v="1"/>
  </r>
  <r>
    <d v="2024-01-15T00:00:00"/>
    <x v="0"/>
    <x v="41"/>
    <x v="5"/>
    <s v="C#"/>
    <n v="80"/>
    <n v="50.62"/>
    <n v="0.81100000000000005"/>
    <n v="42"/>
    <n v="59.63"/>
    <b v="0"/>
    <n v="1"/>
    <s v="High"/>
    <n v="12"/>
    <n v="1"/>
    <n v="10"/>
    <b v="0"/>
    <n v="12.5"/>
    <n v="125"/>
    <s v="High"/>
    <n v="1"/>
    <n v="1"/>
    <n v="1"/>
  </r>
  <r>
    <d v="2024-01-15T00:00:00"/>
    <x v="0"/>
    <x v="42"/>
    <x v="0"/>
    <s v="Java"/>
    <n v="125"/>
    <n v="32.909999999999997"/>
    <n v="0.35799999999999998"/>
    <n v="151"/>
    <n v="91.36"/>
    <b v="0"/>
    <n v="1"/>
    <s v="Medium"/>
    <n v="14"/>
    <n v="9"/>
    <n v="240"/>
    <b v="0"/>
    <n v="8"/>
    <n v="1920"/>
    <s v="Medium"/>
    <n v="0"/>
    <n v="1"/>
    <n v="1"/>
  </r>
  <r>
    <d v="2024-01-15T00:00:00"/>
    <x v="0"/>
    <x v="43"/>
    <x v="1"/>
    <s v="TypeScript"/>
    <n v="304"/>
    <n v="47.24"/>
    <n v="0.46700000000000003"/>
    <n v="167"/>
    <n v="88.07"/>
    <b v="0"/>
    <n v="0"/>
    <s v="Unknown"/>
    <n v="21"/>
    <n v="2"/>
    <n v="217"/>
    <b v="0"/>
    <n v="0"/>
    <n v="713.81578947368405"/>
    <s v="High"/>
    <n v="0"/>
    <n v="1"/>
    <n v="1"/>
  </r>
  <r>
    <d v="2024-01-15T00:00:00"/>
    <x v="0"/>
    <x v="44"/>
    <x v="2"/>
    <s v="C#"/>
    <n v="261"/>
    <n v="17.39"/>
    <n v="0.246"/>
    <n v="63"/>
    <n v="67.25"/>
    <b v="0"/>
    <n v="0"/>
    <s v="No defect record"/>
    <n v="12"/>
    <n v="1"/>
    <n v="79"/>
    <b v="1"/>
    <n v="0"/>
    <n v="302.68199233716399"/>
    <s v="Low"/>
    <n v="0"/>
    <n v="1"/>
    <n v="1"/>
  </r>
  <r>
    <d v="2024-01-15T00:00:00"/>
    <x v="0"/>
    <x v="45"/>
    <x v="3"/>
    <s v="Java"/>
    <n v="405"/>
    <n v="5.14"/>
    <n v="0.71599999999999997"/>
    <n v="126"/>
    <n v="66.64"/>
    <b v="0"/>
    <n v="0"/>
    <s v="Unknown"/>
    <n v="19"/>
    <n v="5"/>
    <n v="221"/>
    <b v="0"/>
    <n v="0"/>
    <n v="545.67901234567898"/>
    <s v="Low"/>
    <n v="0"/>
    <n v="1"/>
    <n v="1"/>
  </r>
  <r>
    <d v="2024-01-15T00:00:00"/>
    <x v="0"/>
    <x v="46"/>
    <x v="4"/>
    <s v="TypeScript"/>
    <n v="83"/>
    <n v="29.25"/>
    <n v="0.32300000000000001"/>
    <n v="133"/>
    <n v="61.44"/>
    <b v="0"/>
    <n v="0"/>
    <s v="Unknown"/>
    <n v="17"/>
    <n v="4"/>
    <n v="149"/>
    <b v="0"/>
    <n v="0"/>
    <n v="1795.18072289156"/>
    <s v="Medium"/>
    <n v="0"/>
    <n v="1"/>
    <n v="1"/>
  </r>
  <r>
    <d v="2024-01-15T00:00:00"/>
    <x v="0"/>
    <x v="47"/>
    <x v="5"/>
    <s v="JavaScript"/>
    <n v="306"/>
    <n v="42.82"/>
    <n v="0.56699999999999995"/>
    <n v="96"/>
    <n v="53.22"/>
    <b v="0"/>
    <n v="0"/>
    <s v="Unknown"/>
    <n v="7"/>
    <n v="6"/>
    <n v="195"/>
    <b v="0"/>
    <n v="0"/>
    <n v="637.25490196078397"/>
    <s v="High"/>
    <n v="1"/>
    <n v="1"/>
    <n v="1"/>
  </r>
  <r>
    <d v="2024-01-15T00:00:00"/>
    <x v="0"/>
    <x v="48"/>
    <x v="0"/>
    <s v="Java"/>
    <n v="112"/>
    <n v="10.79"/>
    <n v="0.56699999999999995"/>
    <n v="151"/>
    <n v="50"/>
    <b v="0"/>
    <n v="1"/>
    <s v="Low"/>
    <n v="11"/>
    <n v="3"/>
    <n v="211"/>
    <b v="0"/>
    <n v="8.9285714285714199"/>
    <n v="1883.92857142857"/>
    <s v="Low"/>
    <n v="1"/>
    <n v="1"/>
    <n v="1"/>
  </r>
  <r>
    <d v="2024-01-15T00:00:00"/>
    <x v="0"/>
    <x v="49"/>
    <x v="1"/>
    <s v="TypeScript"/>
    <n v="291"/>
    <n v="41.4"/>
    <n v="0.45200000000000001"/>
    <n v="161"/>
    <n v="27.11"/>
    <b v="0"/>
    <n v="3"/>
    <s v="Medium"/>
    <n v="8"/>
    <n v="7"/>
    <n v="208"/>
    <b v="0"/>
    <n v="10.309278350515401"/>
    <n v="714.77663230240501"/>
    <s v="High"/>
    <n v="1"/>
    <n v="1"/>
    <n v="1"/>
  </r>
  <r>
    <d v="2024-01-15T00:00:00"/>
    <x v="0"/>
    <x v="50"/>
    <x v="2"/>
    <s v="JavaScript"/>
    <n v="80"/>
    <m/>
    <m/>
    <m/>
    <m/>
    <m/>
    <n v="0"/>
    <s v="Unknown"/>
    <n v="14"/>
    <n v="10"/>
    <n v="228"/>
    <b v="0"/>
    <n v="0"/>
    <n v="2850"/>
    <m/>
    <n v="0"/>
    <n v="1"/>
    <n v="1"/>
  </r>
  <r>
    <d v="2024-01-15T00:00:00"/>
    <x v="0"/>
    <x v="51"/>
    <x v="3"/>
    <s v="Python"/>
    <n v="131"/>
    <n v="46.36"/>
    <n v="0.49299999999999999"/>
    <n v="122"/>
    <n v="61.09"/>
    <b v="0"/>
    <n v="0"/>
    <s v="Unknown"/>
    <n v="14"/>
    <n v="5"/>
    <n v="145"/>
    <b v="0"/>
    <n v="0"/>
    <n v="1106.8702290076301"/>
    <s v="High"/>
    <n v="0"/>
    <n v="1"/>
    <n v="1"/>
  </r>
  <r>
    <d v="2024-01-15T00:00:00"/>
    <x v="0"/>
    <x v="52"/>
    <x v="4"/>
    <s v="TypeScript"/>
    <n v="163"/>
    <n v="4.45"/>
    <n v="0.80500000000000005"/>
    <n v="217"/>
    <n v="78.14"/>
    <b v="0"/>
    <n v="0"/>
    <s v="Unknown"/>
    <n v="9"/>
    <n v="7"/>
    <n v="300"/>
    <b v="0"/>
    <n v="0"/>
    <n v="1840.4907975460101"/>
    <s v="Low"/>
    <n v="0"/>
    <n v="1"/>
    <n v="1"/>
  </r>
  <r>
    <d v="2024-01-15T00:00:00"/>
    <x v="0"/>
    <x v="53"/>
    <x v="5"/>
    <s v="JavaScript"/>
    <n v="80"/>
    <n v="31.94"/>
    <n v="0.77"/>
    <n v="73"/>
    <n v="65.400000000000006"/>
    <b v="0"/>
    <n v="0"/>
    <s v="Unknown"/>
    <n v="11"/>
    <n v="10"/>
    <n v="167"/>
    <b v="0"/>
    <n v="0"/>
    <n v="2087.5"/>
    <s v="Medium"/>
    <n v="0"/>
    <n v="1"/>
    <n v="1"/>
  </r>
  <r>
    <d v="2024-01-15T00:00:00"/>
    <x v="0"/>
    <x v="54"/>
    <x v="0"/>
    <s v="Python"/>
    <n v="112"/>
    <n v="22.98"/>
    <n v="0.82599999999999996"/>
    <n v="21"/>
    <n v="93.23"/>
    <b v="0"/>
    <n v="1"/>
    <s v="Low"/>
    <n v="10"/>
    <n v="8"/>
    <n v="54"/>
    <b v="0"/>
    <n v="8.9285714285714199"/>
    <n v="482.142857142857"/>
    <s v="Medium"/>
    <n v="0"/>
    <n v="1"/>
    <n v="1"/>
  </r>
  <r>
    <d v="2024-01-15T00:00:00"/>
    <x v="0"/>
    <x v="55"/>
    <x v="1"/>
    <s v="C#"/>
    <n v="582"/>
    <n v="20.260000000000002"/>
    <n v="0.05"/>
    <n v="180"/>
    <n v="100"/>
    <b v="0"/>
    <n v="0"/>
    <s v="Unknown"/>
    <n v="28"/>
    <n v="6"/>
    <n v="184"/>
    <b v="0"/>
    <n v="0"/>
    <n v="316.15120274914"/>
    <s v="Medium"/>
    <n v="0"/>
    <n v="1"/>
    <n v="1"/>
  </r>
  <r>
    <d v="2024-01-15T00:00:00"/>
    <x v="0"/>
    <x v="56"/>
    <x v="2"/>
    <s v="JavaScript"/>
    <n v="351"/>
    <n v="27.07"/>
    <n v="0.53700000000000003"/>
    <n v="47"/>
    <n v="100"/>
    <b v="0"/>
    <n v="0"/>
    <s v="Unknown"/>
    <n v="5"/>
    <n v="9"/>
    <n v="30"/>
    <b v="0"/>
    <n v="0"/>
    <n v="85.470085470085394"/>
    <s v="Medium"/>
    <n v="0"/>
    <n v="1"/>
    <n v="1"/>
  </r>
  <r>
    <d v="2024-01-15T00:00:00"/>
    <x v="0"/>
    <x v="57"/>
    <x v="3"/>
    <s v="Python"/>
    <n v="244"/>
    <n v="41.49"/>
    <n v="0.72499999999999998"/>
    <n v="66"/>
    <n v="71.989999999999995"/>
    <b v="0"/>
    <n v="1"/>
    <s v="Low"/>
    <n v="9"/>
    <n v="7"/>
    <n v="60"/>
    <b v="0"/>
    <n v="4.0983606557377001"/>
    <n v="245.90163934426201"/>
    <s v="High"/>
    <n v="0"/>
    <n v="1"/>
    <n v="1"/>
  </r>
  <r>
    <d v="2024-01-15T00:00:00"/>
    <x v="0"/>
    <x v="58"/>
    <x v="4"/>
    <s v="C#"/>
    <n v="159"/>
    <n v="54.9"/>
    <n v="0.23100000000000001"/>
    <n v="85"/>
    <n v="57.57"/>
    <b v="0"/>
    <n v="2"/>
    <s v="Medium"/>
    <n v="13"/>
    <n v="5"/>
    <n v="182"/>
    <b v="0"/>
    <n v="12.5786163522012"/>
    <n v="1144.6540880503101"/>
    <s v="High"/>
    <n v="1"/>
    <n v="1"/>
    <n v="1"/>
  </r>
  <r>
    <d v="2024-01-15T00:00:00"/>
    <x v="0"/>
    <x v="59"/>
    <x v="5"/>
    <s v="Java"/>
    <n v="152"/>
    <n v="27.43"/>
    <n v="0.13500000000000001"/>
    <n v="229"/>
    <n v="92.81"/>
    <b v="0"/>
    <n v="1"/>
    <s v="Medium"/>
    <n v="18"/>
    <n v="6"/>
    <n v="293"/>
    <b v="0"/>
    <n v="6.5789473684210504"/>
    <n v="1927.6315789473599"/>
    <s v="Medium"/>
    <n v="0"/>
    <n v="1"/>
    <n v="1"/>
  </r>
  <r>
    <d v="2024-04-14T00:00:00"/>
    <x v="1"/>
    <x v="0"/>
    <x v="0"/>
    <s v="Python"/>
    <n v="103"/>
    <n v="24.46"/>
    <n v="0.68400000000000005"/>
    <n v="103"/>
    <n v="54.82"/>
    <b v="0"/>
    <n v="0"/>
    <s v="Unknown"/>
    <n v="17"/>
    <n v="7"/>
    <n v="145"/>
    <b v="0"/>
    <n v="0"/>
    <n v="1407.7669902912601"/>
    <s v="Medium"/>
    <n v="1"/>
    <n v="4"/>
    <n v="2"/>
  </r>
  <r>
    <d v="2024-04-14T00:00:00"/>
    <x v="1"/>
    <x v="1"/>
    <x v="1"/>
    <s v="C#"/>
    <n v="215"/>
    <n v="48.56"/>
    <n v="0.67700000000000005"/>
    <n v="60"/>
    <n v="34.85"/>
    <b v="0"/>
    <n v="0"/>
    <s v="Unknown"/>
    <n v="4"/>
    <n v="9"/>
    <n v="150"/>
    <b v="0"/>
    <n v="0"/>
    <n v="697.67441860465101"/>
    <s v="High"/>
    <n v="1"/>
    <n v="4"/>
    <n v="2"/>
  </r>
  <r>
    <d v="2024-04-14T00:00:00"/>
    <x v="1"/>
    <x v="2"/>
    <x v="2"/>
    <s v="Java"/>
    <n v="176"/>
    <n v="41.76"/>
    <n v="0.58799999999999997"/>
    <n v="56"/>
    <n v="66.349999999999994"/>
    <b v="0"/>
    <n v="0"/>
    <s v="Unknown"/>
    <n v="13"/>
    <n v="5"/>
    <n v="133"/>
    <b v="0"/>
    <n v="0"/>
    <n v="755.68181818181802"/>
    <s v="High"/>
    <n v="0"/>
    <n v="4"/>
    <n v="2"/>
  </r>
  <r>
    <d v="2024-04-14T00:00:00"/>
    <x v="1"/>
    <x v="3"/>
    <x v="3"/>
    <s v="TypeScript"/>
    <n v="150"/>
    <n v="39.979999999999997"/>
    <n v="5.8000000000000003E-2"/>
    <n v="88"/>
    <n v="67.94"/>
    <b v="0"/>
    <n v="0"/>
    <s v="Unknown"/>
    <n v="8"/>
    <n v="2"/>
    <n v="148"/>
    <b v="0"/>
    <n v="0"/>
    <n v="986.66666666666595"/>
    <s v="Medium"/>
    <n v="0"/>
    <n v="4"/>
    <n v="2"/>
  </r>
  <r>
    <d v="2024-04-14T00:00:00"/>
    <x v="1"/>
    <x v="4"/>
    <x v="4"/>
    <s v="C#"/>
    <n v="235"/>
    <n v="46.79"/>
    <n v="0.59299999999999997"/>
    <n v="166"/>
    <n v="92.85"/>
    <b v="0"/>
    <n v="0"/>
    <s v="Unknown"/>
    <n v="21"/>
    <n v="6"/>
    <n v="274"/>
    <b v="0"/>
    <n v="0"/>
    <n v="1165.95744680851"/>
    <s v="High"/>
    <n v="0"/>
    <n v="4"/>
    <n v="2"/>
  </r>
  <r>
    <d v="2024-04-14T00:00:00"/>
    <x v="1"/>
    <x v="5"/>
    <x v="5"/>
    <s v="Java"/>
    <n v="333"/>
    <n v="28.59"/>
    <n v="0.316"/>
    <n v="166"/>
    <n v="33.4"/>
    <b v="0"/>
    <n v="1"/>
    <s v="Low"/>
    <n v="16"/>
    <n v="7"/>
    <n v="268"/>
    <b v="0"/>
    <n v="3.0030030030030002"/>
    <n v="804.80480480480401"/>
    <s v="Medium"/>
    <n v="1"/>
    <n v="4"/>
    <n v="2"/>
  </r>
  <r>
    <d v="2024-04-14T00:00:00"/>
    <x v="1"/>
    <x v="6"/>
    <x v="0"/>
    <s v="TypeScript"/>
    <n v="199"/>
    <n v="17.170000000000002"/>
    <n v="0.32500000000000001"/>
    <n v="200"/>
    <n v="38.17"/>
    <b v="0"/>
    <n v="2"/>
    <s v="Medium"/>
    <n v="14"/>
    <n v="3"/>
    <n v="194"/>
    <b v="0"/>
    <n v="10.050251256281401"/>
    <n v="974.87437185929605"/>
    <s v="Low"/>
    <n v="1"/>
    <n v="4"/>
    <n v="2"/>
  </r>
  <r>
    <d v="2024-04-14T00:00:00"/>
    <x v="1"/>
    <x v="7"/>
    <x v="1"/>
    <s v="JavaScript"/>
    <n v="104"/>
    <n v="1"/>
    <n v="0.55700000000000005"/>
    <n v="52"/>
    <n v="45.26"/>
    <b v="0"/>
    <n v="0"/>
    <s v="Unknown"/>
    <n v="6"/>
    <n v="5"/>
    <n v="133"/>
    <b v="0"/>
    <n v="0"/>
    <n v="1278.8461538461499"/>
    <s v="Low"/>
    <n v="1"/>
    <n v="4"/>
    <n v="2"/>
  </r>
  <r>
    <d v="2024-04-14T00:00:00"/>
    <x v="1"/>
    <x v="8"/>
    <x v="2"/>
    <s v="Java"/>
    <n v="250"/>
    <n v="24.34"/>
    <n v="0.61899999999999999"/>
    <n v="139"/>
    <n v="79.349999999999994"/>
    <b v="0"/>
    <n v="0"/>
    <s v="Unknown"/>
    <n v="17"/>
    <n v="3"/>
    <n v="181"/>
    <b v="0"/>
    <n v="0"/>
    <n v="724"/>
    <s v="Medium"/>
    <n v="0"/>
    <n v="4"/>
    <n v="2"/>
  </r>
  <r>
    <d v="2024-04-14T00:00:00"/>
    <x v="1"/>
    <x v="9"/>
    <x v="3"/>
    <s v="TypeScript"/>
    <n v="155"/>
    <n v="42.76"/>
    <n v="0.38700000000000001"/>
    <n v="225"/>
    <n v="67.849999999999994"/>
    <b v="0"/>
    <n v="1"/>
    <s v="Low"/>
    <n v="23"/>
    <n v="8"/>
    <n v="352"/>
    <b v="0"/>
    <n v="6.4516129032257998"/>
    <n v="2270.9677419354798"/>
    <s v="High"/>
    <n v="0"/>
    <n v="4"/>
    <n v="2"/>
  </r>
  <r>
    <d v="2024-04-14T00:00:00"/>
    <x v="1"/>
    <x v="10"/>
    <x v="4"/>
    <s v="JavaScript"/>
    <n v="346"/>
    <n v="48.88"/>
    <n v="0.36699999999999999"/>
    <n v="41"/>
    <n v="70.989999999999995"/>
    <b v="0"/>
    <n v="0"/>
    <s v="Unknown"/>
    <n v="14"/>
    <n v="5"/>
    <n v="77"/>
    <b v="0"/>
    <n v="0"/>
    <n v="222.54335260115599"/>
    <s v="High"/>
    <n v="0"/>
    <n v="4"/>
    <n v="2"/>
  </r>
  <r>
    <d v="2024-04-14T00:00:00"/>
    <x v="1"/>
    <x v="11"/>
    <x v="5"/>
    <s v="Python"/>
    <n v="166"/>
    <n v="36.33"/>
    <n v="0.35799999999999998"/>
    <n v="113"/>
    <n v="77.3"/>
    <b v="0"/>
    <n v="0"/>
    <s v="Unknown"/>
    <n v="16"/>
    <n v="11"/>
    <n v="134"/>
    <b v="0"/>
    <n v="0"/>
    <n v="807.22891566265002"/>
    <s v="Medium"/>
    <n v="0"/>
    <n v="4"/>
    <n v="2"/>
  </r>
  <r>
    <d v="2024-04-14T00:00:00"/>
    <x v="1"/>
    <x v="12"/>
    <x v="0"/>
    <s v="TypeScript"/>
    <n v="295"/>
    <n v="22.52"/>
    <n v="0.83299999999999996"/>
    <n v="115"/>
    <n v="48.68"/>
    <b v="0"/>
    <n v="2"/>
    <s v="Medium"/>
    <n v="6"/>
    <n v="7"/>
    <n v="184"/>
    <b v="0"/>
    <n v="6.7796610169491496"/>
    <n v="623.72881355932202"/>
    <s v="Medium"/>
    <n v="1"/>
    <n v="4"/>
    <n v="2"/>
  </r>
  <r>
    <d v="2024-04-14T00:00:00"/>
    <x v="1"/>
    <x v="13"/>
    <x v="1"/>
    <s v="JavaScript"/>
    <n v="105"/>
    <n v="19.07"/>
    <n v="0.66800000000000004"/>
    <n v="200"/>
    <n v="51.84"/>
    <b v="0"/>
    <n v="0"/>
    <s v="Unknown"/>
    <n v="14"/>
    <n v="10"/>
    <n v="250"/>
    <b v="0"/>
    <n v="0"/>
    <n v="2380.9523809523798"/>
    <s v="Low"/>
    <n v="1"/>
    <n v="4"/>
    <n v="2"/>
  </r>
  <r>
    <d v="2024-04-14T00:00:00"/>
    <x v="1"/>
    <x v="14"/>
    <x v="2"/>
    <s v="Python"/>
    <n v="513"/>
    <n v="13.2"/>
    <n v="0.23899999999999999"/>
    <n v="61"/>
    <n v="66.709999999999994"/>
    <b v="0"/>
    <n v="0"/>
    <s v="Unknown"/>
    <n v="6"/>
    <n v="7"/>
    <n v="101"/>
    <b v="0"/>
    <n v="0"/>
    <n v="196.88109161793301"/>
    <s v="Low"/>
    <n v="0"/>
    <n v="4"/>
    <n v="2"/>
  </r>
  <r>
    <d v="2024-04-14T00:00:00"/>
    <x v="1"/>
    <x v="15"/>
    <x v="3"/>
    <s v="C#"/>
    <n v="128"/>
    <n v="25.52"/>
    <n v="0.61799999999999999"/>
    <n v="35"/>
    <n v="87.74"/>
    <b v="0"/>
    <n v="1"/>
    <s v="Low"/>
    <n v="9"/>
    <n v="3"/>
    <n v="79"/>
    <b v="0"/>
    <n v="7.8125"/>
    <n v="617.1875"/>
    <s v="Medium"/>
    <n v="0"/>
    <n v="4"/>
    <n v="2"/>
  </r>
  <r>
    <d v="2024-04-14T00:00:00"/>
    <x v="1"/>
    <x v="16"/>
    <x v="4"/>
    <s v="JavaScript"/>
    <n v="146"/>
    <n v="31.56"/>
    <n v="0.78300000000000003"/>
    <n v="95"/>
    <n v="87.48"/>
    <b v="0"/>
    <n v="1"/>
    <s v="Low"/>
    <m/>
    <m/>
    <m/>
    <b v="0"/>
    <n v="6.8493150684931496"/>
    <m/>
    <s v="Medium"/>
    <n v="0"/>
    <n v="4"/>
    <n v="2"/>
  </r>
  <r>
    <d v="2024-04-14T00:00:00"/>
    <x v="1"/>
    <x v="17"/>
    <x v="5"/>
    <s v="Python"/>
    <n v="243"/>
    <n v="14.6"/>
    <n v="0.05"/>
    <n v="70"/>
    <n v="43.03"/>
    <b v="0"/>
    <n v="0"/>
    <s v="Unknown"/>
    <n v="10"/>
    <n v="11"/>
    <n v="114"/>
    <b v="0"/>
    <n v="0"/>
    <n v="469.135802469135"/>
    <s v="Low"/>
    <n v="1"/>
    <n v="4"/>
    <n v="2"/>
  </r>
  <r>
    <d v="2024-04-14T00:00:00"/>
    <x v="1"/>
    <x v="18"/>
    <x v="0"/>
    <s v="C#"/>
    <n v="725"/>
    <n v="35.229999999999997"/>
    <n v="0.34699999999999998"/>
    <n v="155"/>
    <n v="38.47"/>
    <b v="0"/>
    <n v="2"/>
    <s v="Low"/>
    <n v="12"/>
    <n v="5"/>
    <n v="242"/>
    <b v="0"/>
    <n v="2.7586206896551699"/>
    <n v="333.79310344827502"/>
    <s v="Medium"/>
    <n v="1"/>
    <n v="4"/>
    <n v="2"/>
  </r>
  <r>
    <d v="2024-04-14T00:00:00"/>
    <x v="1"/>
    <x v="19"/>
    <x v="1"/>
    <s v="Java"/>
    <n v="193"/>
    <n v="33.61"/>
    <n v="0.05"/>
    <n v="76"/>
    <n v="76.95"/>
    <b v="0"/>
    <n v="1"/>
    <s v="High"/>
    <n v="13"/>
    <n v="11"/>
    <n v="93"/>
    <b v="0"/>
    <n v="5.18134715025906"/>
    <n v="481.86528497409302"/>
    <s v="Medium"/>
    <n v="0"/>
    <n v="4"/>
    <n v="2"/>
  </r>
  <r>
    <d v="2024-04-14T00:00:00"/>
    <x v="1"/>
    <x v="20"/>
    <x v="2"/>
    <s v="Python"/>
    <n v="225"/>
    <n v="43.29"/>
    <n v="0.64100000000000001"/>
    <n v="152"/>
    <n v="68.87"/>
    <b v="0"/>
    <n v="3"/>
    <s v="Medium"/>
    <n v="16"/>
    <n v="8"/>
    <n v="196"/>
    <b v="0"/>
    <n v="13.3333333333333"/>
    <n v="871.11111111111097"/>
    <s v="High"/>
    <n v="0"/>
    <n v="4"/>
    <n v="2"/>
  </r>
  <r>
    <d v="2024-04-14T00:00:00"/>
    <x v="1"/>
    <x v="21"/>
    <x v="3"/>
    <s v="C#"/>
    <n v="80"/>
    <n v="28.83"/>
    <n v="0.626"/>
    <n v="57"/>
    <n v="40.1"/>
    <b v="0"/>
    <n v="0"/>
    <s v="Unknown"/>
    <n v="10"/>
    <n v="11"/>
    <n v="73"/>
    <b v="0"/>
    <n v="0"/>
    <n v="912.5"/>
    <s v="Medium"/>
    <n v="1"/>
    <n v="4"/>
    <n v="2"/>
  </r>
  <r>
    <d v="2024-04-14T00:00:00"/>
    <x v="1"/>
    <x v="22"/>
    <x v="4"/>
    <s v="Java"/>
    <n v="331"/>
    <n v="16.760000000000002"/>
    <n v="0.76400000000000001"/>
    <n v="196"/>
    <n v="44.89"/>
    <b v="0"/>
    <n v="1"/>
    <s v="Low"/>
    <n v="12"/>
    <n v="8"/>
    <n v="253"/>
    <b v="0"/>
    <n v="3.0211480362537699"/>
    <n v="764.35045317220499"/>
    <s v="Low"/>
    <n v="1"/>
    <n v="4"/>
    <n v="2"/>
  </r>
  <r>
    <d v="2024-04-14T00:00:00"/>
    <x v="1"/>
    <x v="23"/>
    <x v="5"/>
    <s v="TypeScript"/>
    <n v="168"/>
    <n v="30"/>
    <n v="0.17"/>
    <n v="43"/>
    <n v="68.13"/>
    <b v="0"/>
    <n v="2"/>
    <s v="High"/>
    <n v="17"/>
    <n v="10"/>
    <n v="75"/>
    <b v="0"/>
    <n v="11.9047619047619"/>
    <n v="446.42857142857099"/>
    <s v="Medium"/>
    <n v="0"/>
    <n v="4"/>
    <n v="2"/>
  </r>
  <r>
    <d v="2024-04-14T00:00:00"/>
    <x v="1"/>
    <x v="24"/>
    <x v="0"/>
    <s v="C#"/>
    <n v="292"/>
    <n v="19.420000000000002"/>
    <n v="0.17299999999999999"/>
    <n v="23"/>
    <n v="39.32"/>
    <b v="0"/>
    <n v="2"/>
    <s v="Medium"/>
    <n v="9"/>
    <n v="2"/>
    <n v="16"/>
    <b v="0"/>
    <n v="6.8493150684931496"/>
    <n v="54.794520547945197"/>
    <s v="Low"/>
    <n v="1"/>
    <n v="4"/>
    <n v="2"/>
  </r>
  <r>
    <d v="2024-04-14T00:00:00"/>
    <x v="1"/>
    <x v="25"/>
    <x v="1"/>
    <s v="Java"/>
    <n v="521"/>
    <n v="21.09"/>
    <n v="0.33100000000000002"/>
    <n v="110"/>
    <n v="79.349999999999994"/>
    <b v="0"/>
    <n v="0"/>
    <s v="Unknown"/>
    <n v="11"/>
    <n v="5"/>
    <n v="138"/>
    <b v="0"/>
    <n v="0"/>
    <n v="264.875239923224"/>
    <s v="Medium"/>
    <n v="0"/>
    <n v="4"/>
    <n v="2"/>
  </r>
  <r>
    <d v="2024-04-14T00:00:00"/>
    <x v="1"/>
    <x v="26"/>
    <x v="2"/>
    <s v="TypeScript"/>
    <n v="80"/>
    <n v="47.96"/>
    <n v="0.41"/>
    <n v="165"/>
    <n v="84.84"/>
    <b v="0"/>
    <n v="2"/>
    <s v="Low"/>
    <n v="16"/>
    <n v="4"/>
    <n v="226"/>
    <b v="0"/>
    <n v="25"/>
    <n v="2825"/>
    <s v="High"/>
    <n v="0"/>
    <n v="4"/>
    <n v="2"/>
  </r>
  <r>
    <d v="2024-04-14T00:00:00"/>
    <x v="1"/>
    <x v="27"/>
    <x v="3"/>
    <s v="JavaScript"/>
    <n v="166"/>
    <n v="15.57"/>
    <n v="0.66800000000000004"/>
    <n v="142"/>
    <n v="60.54"/>
    <b v="0"/>
    <n v="1"/>
    <s v="Medium"/>
    <n v="16"/>
    <n v="6"/>
    <n v="190"/>
    <b v="0"/>
    <n v="6.0240963855421601"/>
    <n v="1144.57831325301"/>
    <s v="Low"/>
    <n v="0"/>
    <n v="4"/>
    <n v="2"/>
  </r>
  <r>
    <d v="2024-04-14T00:00:00"/>
    <x v="1"/>
    <x v="28"/>
    <x v="4"/>
    <s v="Java"/>
    <n v="391"/>
    <n v="20.74"/>
    <n v="0.45"/>
    <n v="82"/>
    <n v="94.8"/>
    <b v="0"/>
    <n v="1"/>
    <s v="Medium"/>
    <n v="11"/>
    <n v="7"/>
    <n v="102"/>
    <b v="0"/>
    <n v="2.5575447570332401"/>
    <n v="260.86956521739103"/>
    <s v="Medium"/>
    <n v="0"/>
    <n v="4"/>
    <n v="2"/>
  </r>
  <r>
    <d v="2024-04-14T00:00:00"/>
    <x v="1"/>
    <x v="29"/>
    <x v="5"/>
    <s v="TypeScript"/>
    <n v="432"/>
    <n v="46.76"/>
    <n v="0.74399999999999999"/>
    <n v="88"/>
    <n v="97.66"/>
    <b v="0"/>
    <n v="1"/>
    <s v="Low"/>
    <n v="20"/>
    <n v="5"/>
    <n v="169"/>
    <b v="0"/>
    <n v="2.31481481481481"/>
    <n v="391.20370370370301"/>
    <s v="High"/>
    <n v="0"/>
    <n v="4"/>
    <n v="2"/>
  </r>
  <r>
    <d v="2024-04-14T00:00:00"/>
    <x v="1"/>
    <x v="30"/>
    <x v="0"/>
    <s v="JavaScript"/>
    <n v="246"/>
    <n v="27.78"/>
    <n v="0.68100000000000005"/>
    <n v="118"/>
    <n v="80.349999999999994"/>
    <b v="0"/>
    <n v="0"/>
    <s v="Unknown"/>
    <n v="8"/>
    <n v="10"/>
    <n v="161"/>
    <b v="0"/>
    <n v="0"/>
    <n v="654.47154471544695"/>
    <s v="Medium"/>
    <n v="0"/>
    <n v="4"/>
    <n v="2"/>
  </r>
  <r>
    <d v="2024-04-14T00:00:00"/>
    <x v="1"/>
    <x v="31"/>
    <x v="1"/>
    <s v="Python"/>
    <n v="116"/>
    <n v="51.36"/>
    <n v="0.755"/>
    <n v="60"/>
    <n v="50.39"/>
    <b v="0"/>
    <n v="1"/>
    <s v="High"/>
    <n v="8"/>
    <n v="11"/>
    <n v="85"/>
    <b v="0"/>
    <n v="8.6206896551724093"/>
    <n v="732.758620689655"/>
    <s v="High"/>
    <n v="1"/>
    <n v="4"/>
    <n v="2"/>
  </r>
  <r>
    <d v="2024-04-14T00:00:00"/>
    <x v="1"/>
    <x v="32"/>
    <x v="2"/>
    <s v="TypeScript"/>
    <n v="128"/>
    <n v="40"/>
    <n v="0.51900000000000002"/>
    <n v="39"/>
    <n v="96.15"/>
    <b v="0"/>
    <n v="0"/>
    <s v="Unknown"/>
    <n v="11"/>
    <n v="2"/>
    <n v="29"/>
    <b v="0"/>
    <n v="0"/>
    <n v="226.5625"/>
    <s v="Medium"/>
    <n v="0"/>
    <n v="4"/>
    <n v="2"/>
  </r>
  <r>
    <d v="2024-04-14T00:00:00"/>
    <x v="1"/>
    <x v="33"/>
    <x v="3"/>
    <s v="JavaScript"/>
    <n v="132"/>
    <n v="14.77"/>
    <n v="0.66500000000000004"/>
    <n v="117"/>
    <n v="34.19"/>
    <b v="0"/>
    <n v="0"/>
    <s v="Unknown"/>
    <n v="9"/>
    <n v="8"/>
    <n v="146"/>
    <b v="0"/>
    <n v="0"/>
    <n v="1106.0606060606001"/>
    <s v="Low"/>
    <n v="1"/>
    <n v="4"/>
    <n v="2"/>
  </r>
  <r>
    <d v="2024-04-14T00:00:00"/>
    <x v="1"/>
    <x v="34"/>
    <x v="4"/>
    <s v="Python"/>
    <n v="225"/>
    <n v="24.7"/>
    <n v="0.70099999999999996"/>
    <n v="108"/>
    <n v="76.45"/>
    <b v="0"/>
    <n v="1"/>
    <s v="Low"/>
    <n v="15"/>
    <n v="1"/>
    <n v="114"/>
    <b v="0"/>
    <n v="4.4444444444444402"/>
    <n v="506.666666666666"/>
    <s v="Medium"/>
    <n v="0"/>
    <n v="4"/>
    <n v="2"/>
  </r>
  <r>
    <d v="2024-04-14T00:00:00"/>
    <x v="1"/>
    <x v="35"/>
    <x v="5"/>
    <s v="C#"/>
    <n v="262"/>
    <n v="45.34"/>
    <n v="0.629"/>
    <n v="182"/>
    <n v="52.19"/>
    <b v="0"/>
    <n v="1"/>
    <s v="Medium"/>
    <n v="17"/>
    <n v="7"/>
    <n v="228"/>
    <b v="0"/>
    <n v="3.8167938931297698"/>
    <n v="870.229007633587"/>
    <s v="High"/>
    <n v="1"/>
    <n v="4"/>
    <n v="2"/>
  </r>
  <r>
    <d v="2024-04-14T00:00:00"/>
    <x v="1"/>
    <x v="36"/>
    <x v="0"/>
    <s v="JavaScript"/>
    <n v="220"/>
    <n v="25.71"/>
    <n v="0.1"/>
    <n v="47"/>
    <n v="56.27"/>
    <b v="0"/>
    <n v="1"/>
    <s v="Low"/>
    <n v="13"/>
    <n v="2"/>
    <n v="129"/>
    <b v="0"/>
    <n v="4.5454545454545396"/>
    <n v="586.36363636363603"/>
    <s v="Medium"/>
    <n v="1"/>
    <n v="4"/>
    <n v="2"/>
  </r>
  <r>
    <d v="2024-04-14T00:00:00"/>
    <x v="1"/>
    <x v="37"/>
    <x v="1"/>
    <s v="Python"/>
    <n v="217"/>
    <n v="28.57"/>
    <n v="0.115"/>
    <n v="38"/>
    <n v="29.7"/>
    <b v="0"/>
    <n v="1"/>
    <s v="High"/>
    <n v="10"/>
    <n v="12"/>
    <n v="28"/>
    <b v="0"/>
    <n v="4.6082949308755703"/>
    <n v="129.03225806451599"/>
    <s v="Medium"/>
    <n v="1"/>
    <n v="4"/>
    <n v="2"/>
  </r>
  <r>
    <d v="2024-04-14T00:00:00"/>
    <x v="1"/>
    <x v="38"/>
    <x v="2"/>
    <s v="C#"/>
    <n v="243"/>
    <n v="40.65"/>
    <n v="0.51300000000000001"/>
    <n v="111"/>
    <n v="89.75"/>
    <b v="0"/>
    <n v="1"/>
    <s v="Medium"/>
    <n v="14"/>
    <n v="8"/>
    <n v="135"/>
    <b v="0"/>
    <n v="4.1152263374485596"/>
    <n v="555.55555555555497"/>
    <s v="High"/>
    <n v="0"/>
    <n v="4"/>
    <n v="2"/>
  </r>
  <r>
    <d v="2024-04-14T00:00:00"/>
    <x v="1"/>
    <x v="39"/>
    <x v="3"/>
    <s v="Java"/>
    <n v="129"/>
    <n v="41.28"/>
    <n v="0.42699999999999999"/>
    <n v="0"/>
    <n v="77.08"/>
    <b v="0"/>
    <n v="0"/>
    <s v="Unknown"/>
    <n v="8"/>
    <n v="5"/>
    <n v="1"/>
    <b v="0"/>
    <n v="0"/>
    <n v="7.75193798449612"/>
    <s v="High"/>
    <n v="0"/>
    <n v="4"/>
    <n v="2"/>
  </r>
  <r>
    <d v="2024-04-14T00:00:00"/>
    <x v="1"/>
    <x v="40"/>
    <x v="4"/>
    <s v="Python"/>
    <n v="203"/>
    <n v="23.9"/>
    <n v="0.71199999999999997"/>
    <n v="143"/>
    <n v="100"/>
    <b v="0"/>
    <n v="0"/>
    <s v="Unknown"/>
    <n v="19"/>
    <n v="3"/>
    <n v="187"/>
    <b v="0"/>
    <n v="0"/>
    <n v="921.18226600985201"/>
    <s v="Medium"/>
    <n v="0"/>
    <n v="4"/>
    <n v="2"/>
  </r>
  <r>
    <d v="2024-04-14T00:00:00"/>
    <x v="1"/>
    <x v="41"/>
    <x v="5"/>
    <s v="C#"/>
    <n v="80"/>
    <n v="44.34"/>
    <n v="0.68300000000000005"/>
    <n v="21"/>
    <n v="67.55"/>
    <b v="0"/>
    <n v="0"/>
    <s v="Unknown"/>
    <n v="7"/>
    <n v="3"/>
    <n v="9"/>
    <b v="0"/>
    <n v="0"/>
    <n v="112.5"/>
    <s v="High"/>
    <n v="0"/>
    <n v="4"/>
    <n v="2"/>
  </r>
  <r>
    <d v="2024-04-14T00:00:00"/>
    <x v="1"/>
    <x v="42"/>
    <x v="0"/>
    <s v="Java"/>
    <n v="125"/>
    <n v="26.2"/>
    <n v="0.56999999999999995"/>
    <n v="191"/>
    <n v="94.36"/>
    <b v="0"/>
    <n v="0"/>
    <s v="Unknown"/>
    <n v="10"/>
    <n v="2"/>
    <n v="240"/>
    <b v="0"/>
    <n v="0"/>
    <n v="1920"/>
    <s v="Medium"/>
    <n v="0"/>
    <n v="4"/>
    <n v="2"/>
  </r>
  <r>
    <d v="2024-04-14T00:00:00"/>
    <x v="1"/>
    <x v="43"/>
    <x v="1"/>
    <s v="TypeScript"/>
    <n v="304"/>
    <n v="42.09"/>
    <n v="0.45300000000000001"/>
    <n v="200"/>
    <n v="88.31"/>
    <b v="0"/>
    <n v="0"/>
    <s v="Unknown"/>
    <n v="9"/>
    <n v="3"/>
    <n v="279"/>
    <b v="0"/>
    <n v="0"/>
    <n v="917.76315789473597"/>
    <s v="High"/>
    <n v="0"/>
    <n v="4"/>
    <n v="2"/>
  </r>
  <r>
    <d v="2024-04-14T00:00:00"/>
    <x v="1"/>
    <x v="44"/>
    <x v="2"/>
    <s v="C#"/>
    <n v="261"/>
    <n v="24.97"/>
    <n v="0.45800000000000002"/>
    <n v="49"/>
    <n v="65.260000000000005"/>
    <b v="0"/>
    <n v="2"/>
    <s v="Critical"/>
    <n v="15"/>
    <n v="1"/>
    <n v="26"/>
    <b v="0"/>
    <n v="7.6628352490421401"/>
    <n v="99.616858237547802"/>
    <s v="Medium"/>
    <n v="0"/>
    <n v="4"/>
    <n v="2"/>
  </r>
  <r>
    <d v="2024-04-14T00:00:00"/>
    <x v="1"/>
    <x v="45"/>
    <x v="3"/>
    <s v="Java"/>
    <n v="405"/>
    <n v="17.09"/>
    <n v="0.70699999999999996"/>
    <n v="137"/>
    <n v="52.05"/>
    <b v="0"/>
    <n v="2"/>
    <s v="Medium"/>
    <n v="11"/>
    <n v="4"/>
    <n v="196"/>
    <b v="0"/>
    <n v="4.9382716049382704"/>
    <n v="483.95061728395001"/>
    <s v="Low"/>
    <n v="1"/>
    <n v="4"/>
    <n v="2"/>
  </r>
  <r>
    <d v="2024-04-14T00:00:00"/>
    <x v="1"/>
    <x v="46"/>
    <x v="4"/>
    <s v="TypeScript"/>
    <n v="83"/>
    <n v="40.1"/>
    <n v="0.15"/>
    <n v="134"/>
    <n v="62.23"/>
    <b v="0"/>
    <n v="1"/>
    <s v="Low"/>
    <n v="17"/>
    <n v="8"/>
    <n v="188"/>
    <b v="0"/>
    <n v="12.048192771084301"/>
    <n v="2265.06024096385"/>
    <s v="High"/>
    <n v="0"/>
    <n v="4"/>
    <n v="2"/>
  </r>
  <r>
    <d v="2024-04-14T00:00:00"/>
    <x v="1"/>
    <x v="47"/>
    <x v="5"/>
    <s v="JavaScript"/>
    <n v="306"/>
    <n v="48.84"/>
    <n v="0.73599999999999999"/>
    <n v="96"/>
    <n v="43.8"/>
    <b v="0"/>
    <n v="0"/>
    <s v="Unknown"/>
    <n v="12"/>
    <n v="5"/>
    <n v="162"/>
    <b v="0"/>
    <n v="0"/>
    <n v="529.41176470588198"/>
    <s v="High"/>
    <n v="1"/>
    <n v="4"/>
    <n v="2"/>
  </r>
  <r>
    <d v="2024-04-14T00:00:00"/>
    <x v="1"/>
    <x v="48"/>
    <x v="0"/>
    <s v="Java"/>
    <n v="112"/>
    <n v="5.19"/>
    <n v="0.82599999999999996"/>
    <n v="214"/>
    <n v="46.49"/>
    <b v="0"/>
    <n v="1"/>
    <s v="Low"/>
    <n v="8"/>
    <n v="2"/>
    <n v="260"/>
    <b v="0"/>
    <n v="8.9285714285714199"/>
    <n v="2321.4285714285702"/>
    <s v="Low"/>
    <n v="1"/>
    <n v="4"/>
    <n v="2"/>
  </r>
  <r>
    <d v="2024-04-14T00:00:00"/>
    <x v="1"/>
    <x v="49"/>
    <x v="1"/>
    <s v="TypeScript"/>
    <n v="291"/>
    <n v="40.1"/>
    <n v="0.436"/>
    <n v="165"/>
    <n v="35.15"/>
    <b v="0"/>
    <n v="1"/>
    <s v="Medium"/>
    <n v="17"/>
    <n v="8"/>
    <n v="219"/>
    <b v="0"/>
    <n v="3.4364261168384802"/>
    <n v="752.57731958762895"/>
    <s v="High"/>
    <n v="1"/>
    <n v="4"/>
    <n v="2"/>
  </r>
  <r>
    <d v="2024-04-14T00:00:00"/>
    <x v="1"/>
    <x v="50"/>
    <x v="2"/>
    <s v="JavaScript"/>
    <n v="80"/>
    <n v="30.63"/>
    <n v="0.313"/>
    <n v="194"/>
    <n v="57.66"/>
    <b v="0"/>
    <n v="2"/>
    <s v="Low"/>
    <n v="16"/>
    <n v="8"/>
    <n v="235"/>
    <b v="0"/>
    <n v="25"/>
    <n v="2937.5"/>
    <s v="Medium"/>
    <n v="1"/>
    <n v="4"/>
    <n v="2"/>
  </r>
  <r>
    <d v="2024-04-14T00:00:00"/>
    <x v="1"/>
    <x v="51"/>
    <x v="3"/>
    <s v="Python"/>
    <n v="131"/>
    <n v="45.65"/>
    <n v="0.57399999999999995"/>
    <n v="190"/>
    <n v="56.99"/>
    <b v="0"/>
    <n v="3"/>
    <s v="Medium"/>
    <n v="16"/>
    <n v="4"/>
    <n v="283"/>
    <b v="0"/>
    <n v="22.900763358778601"/>
    <n v="2160.3053435114498"/>
    <s v="High"/>
    <n v="1"/>
    <n v="4"/>
    <n v="2"/>
  </r>
  <r>
    <d v="2024-04-14T00:00:00"/>
    <x v="1"/>
    <x v="52"/>
    <x v="4"/>
    <s v="TypeScript"/>
    <n v="163"/>
    <n v="4.9000000000000004"/>
    <n v="0.96899999999999997"/>
    <n v="156"/>
    <n v="83.24"/>
    <b v="0"/>
    <n v="0"/>
    <s v="Unknown"/>
    <n v="12"/>
    <n v="6"/>
    <n v="171"/>
    <b v="0"/>
    <n v="0"/>
    <n v="1049.07975460122"/>
    <s v="Low"/>
    <n v="0"/>
    <n v="4"/>
    <n v="2"/>
  </r>
  <r>
    <d v="2024-04-14T00:00:00"/>
    <x v="1"/>
    <x v="53"/>
    <x v="5"/>
    <s v="JavaScript"/>
    <n v="80"/>
    <n v="28.46"/>
    <n v="0.77800000000000002"/>
    <n v="103"/>
    <n v="54.34"/>
    <b v="0"/>
    <n v="0"/>
    <s v="Unknown"/>
    <n v="19"/>
    <n v="5"/>
    <n v="155"/>
    <b v="0"/>
    <n v="0"/>
    <n v="1937.5"/>
    <s v="Medium"/>
    <n v="1"/>
    <n v="4"/>
    <n v="2"/>
  </r>
  <r>
    <d v="2024-04-14T00:00:00"/>
    <x v="1"/>
    <x v="54"/>
    <x v="0"/>
    <s v="Python"/>
    <n v="112"/>
    <n v="9.58"/>
    <n v="0.75"/>
    <n v="61"/>
    <n v="84.59"/>
    <b v="0"/>
    <n v="1"/>
    <s v="Low"/>
    <n v="10"/>
    <n v="5"/>
    <n v="79"/>
    <b v="0"/>
    <n v="8.9285714285714199"/>
    <n v="705.35714285714198"/>
    <s v="Low"/>
    <n v="0"/>
    <n v="4"/>
    <n v="2"/>
  </r>
  <r>
    <d v="2024-04-14T00:00:00"/>
    <x v="1"/>
    <x v="55"/>
    <x v="1"/>
    <s v="C#"/>
    <n v="582"/>
    <n v="5.01"/>
    <n v="5.7000000000000002E-2"/>
    <n v="193"/>
    <n v="81.93"/>
    <b v="0"/>
    <n v="0"/>
    <s v="Unknown"/>
    <n v="11"/>
    <n v="3"/>
    <n v="209"/>
    <b v="0"/>
    <n v="0"/>
    <n v="359.10652920962201"/>
    <s v="Low"/>
    <n v="0"/>
    <n v="4"/>
    <n v="2"/>
  </r>
  <r>
    <d v="2024-04-14T00:00:00"/>
    <x v="1"/>
    <x v="56"/>
    <x v="2"/>
    <s v="JavaScript"/>
    <n v="351"/>
    <n v="34.75"/>
    <n v="0.378"/>
    <n v="61"/>
    <n v="96.22"/>
    <b v="0"/>
    <n v="0"/>
    <s v="Unknown"/>
    <n v="12"/>
    <n v="5"/>
    <n v="64"/>
    <b v="0"/>
    <n v="0"/>
    <n v="182.33618233618199"/>
    <s v="Medium"/>
    <n v="0"/>
    <n v="4"/>
    <n v="2"/>
  </r>
  <r>
    <d v="2024-04-14T00:00:00"/>
    <x v="1"/>
    <x v="57"/>
    <x v="3"/>
    <s v="Python"/>
    <n v="244"/>
    <n v="34.03"/>
    <n v="0.96199999999999997"/>
    <n v="79"/>
    <n v="60.93"/>
    <b v="0"/>
    <n v="1"/>
    <s v="Low"/>
    <n v="8"/>
    <n v="10"/>
    <n v="108"/>
    <b v="0"/>
    <n v="4.0983606557377001"/>
    <n v="442.62295081967198"/>
    <s v="Medium"/>
    <n v="0"/>
    <n v="4"/>
    <n v="2"/>
  </r>
  <r>
    <d v="2024-04-14T00:00:00"/>
    <x v="1"/>
    <x v="58"/>
    <x v="4"/>
    <s v="C#"/>
    <n v="159"/>
    <n v="44.04"/>
    <n v="0.308"/>
    <n v="114"/>
    <n v="63.55"/>
    <b v="0"/>
    <n v="1"/>
    <s v="Low"/>
    <n v="12"/>
    <n v="5"/>
    <n v="126"/>
    <b v="0"/>
    <n v="6.2893081761006204"/>
    <n v="792.45283018867894"/>
    <s v="High"/>
    <n v="0"/>
    <n v="4"/>
    <n v="2"/>
  </r>
  <r>
    <d v="2024-04-14T00:00:00"/>
    <x v="1"/>
    <x v="59"/>
    <x v="5"/>
    <s v="Java"/>
    <n v="152"/>
    <n v="27.25"/>
    <n v="0.05"/>
    <n v="207"/>
    <n v="66.41"/>
    <b v="0"/>
    <n v="0"/>
    <s v="Unknown"/>
    <n v="14"/>
    <n v="10"/>
    <n v="291"/>
    <b v="0"/>
    <n v="0"/>
    <n v="1914.4736842105201"/>
    <s v="Medium"/>
    <n v="0"/>
    <n v="4"/>
    <n v="2"/>
  </r>
  <r>
    <d v="2024-07-13T00:00:00"/>
    <x v="2"/>
    <x v="0"/>
    <x v="0"/>
    <s v="Python"/>
    <n v="103"/>
    <n v="68.639999999999901"/>
    <n v="0.85599999999999998"/>
    <n v="95"/>
    <n v="67.61"/>
    <b v="1"/>
    <n v="0"/>
    <s v="Unknown"/>
    <n v="6"/>
    <n v="5"/>
    <n v="136"/>
    <b v="0"/>
    <n v="0"/>
    <n v="1320.3883495145601"/>
    <s v="High"/>
    <n v="0"/>
    <n v="7"/>
    <n v="3"/>
  </r>
  <r>
    <d v="2024-07-13T00:00:00"/>
    <x v="2"/>
    <x v="1"/>
    <x v="1"/>
    <s v="C#"/>
    <n v="215"/>
    <n v="49.94"/>
    <n v="0.47899999999999998"/>
    <n v="88"/>
    <n v="53.68"/>
    <b v="0"/>
    <n v="1"/>
    <s v="Low"/>
    <n v="8"/>
    <n v="11"/>
    <n v="176"/>
    <b v="0"/>
    <n v="4.6511627906976702"/>
    <n v="818.60465116278999"/>
    <s v="High"/>
    <n v="1"/>
    <n v="7"/>
    <n v="3"/>
  </r>
  <r>
    <d v="2024-07-13T00:00:00"/>
    <x v="2"/>
    <x v="2"/>
    <x v="2"/>
    <s v="Java"/>
    <n v="176"/>
    <n v="37.76"/>
    <n v="0.621"/>
    <n v="23"/>
    <n v="64.540000000000006"/>
    <b v="0"/>
    <n v="3"/>
    <s v="Critical"/>
    <n v="10"/>
    <n v="5"/>
    <n v="65"/>
    <b v="0"/>
    <n v="17.045454545454501"/>
    <n v="369.31818181818102"/>
    <s v="Medium"/>
    <n v="0"/>
    <n v="7"/>
    <n v="3"/>
  </r>
  <r>
    <d v="2024-07-13T00:00:00"/>
    <x v="2"/>
    <x v="3"/>
    <x v="3"/>
    <s v="TypeScript"/>
    <n v="150"/>
    <n v="47.37"/>
    <n v="0.14399999999999999"/>
    <n v="109"/>
    <n v="82.42"/>
    <b v="0"/>
    <n v="0"/>
    <s v="Unknown"/>
    <n v="4"/>
    <n v="3"/>
    <n v="99"/>
    <b v="0"/>
    <n v="0"/>
    <n v="660"/>
    <s v="High"/>
    <n v="0"/>
    <n v="7"/>
    <n v="3"/>
  </r>
  <r>
    <d v="2024-07-13T00:00:00"/>
    <x v="2"/>
    <x v="4"/>
    <x v="4"/>
    <s v="C#"/>
    <n v="235"/>
    <n v="38.450000000000003"/>
    <n v="0.51800000000000002"/>
    <n v="199"/>
    <n v="69.84"/>
    <b v="0"/>
    <n v="1"/>
    <s v="Medium"/>
    <n v="17"/>
    <n v="6"/>
    <n v="254"/>
    <b v="0"/>
    <n v="4.2553191489361701"/>
    <n v="1080.8510638297801"/>
    <s v="Medium"/>
    <n v="0"/>
    <n v="7"/>
    <n v="3"/>
  </r>
  <r>
    <d v="2024-07-13T00:00:00"/>
    <x v="2"/>
    <x v="5"/>
    <x v="5"/>
    <s v="Java"/>
    <n v="333"/>
    <n v="36.03"/>
    <n v="0.32100000000000001"/>
    <n v="95"/>
    <n v="45.05"/>
    <b v="0"/>
    <n v="0"/>
    <s v="Unknown"/>
    <n v="7"/>
    <n v="9"/>
    <n v="118"/>
    <b v="0"/>
    <n v="0"/>
    <n v="354.35435435435397"/>
    <s v="Medium"/>
    <n v="1"/>
    <n v="7"/>
    <n v="3"/>
  </r>
  <r>
    <d v="2024-07-13T00:00:00"/>
    <x v="2"/>
    <x v="6"/>
    <x v="0"/>
    <s v="TypeScript"/>
    <n v="199"/>
    <n v="22.42"/>
    <n v="0.19600000000000001"/>
    <n v="133"/>
    <n v="42.09"/>
    <b v="0"/>
    <n v="0"/>
    <s v="Unknown"/>
    <n v="11"/>
    <n v="9"/>
    <n v="242"/>
    <b v="0"/>
    <n v="0"/>
    <n v="1216.08040201005"/>
    <s v="Medium"/>
    <n v="1"/>
    <n v="7"/>
    <n v="3"/>
  </r>
  <r>
    <d v="2024-07-13T00:00:00"/>
    <x v="2"/>
    <x v="7"/>
    <x v="1"/>
    <s v="JavaScript"/>
    <n v="104"/>
    <n v="8.89"/>
    <n v="0.45700000000000002"/>
    <n v="45"/>
    <n v="59.67"/>
    <b v="0"/>
    <n v="0"/>
    <s v="Unknown"/>
    <n v="10"/>
    <n v="6"/>
    <n v="101"/>
    <b v="0"/>
    <n v="0"/>
    <n v="971.15384615384596"/>
    <s v="Low"/>
    <n v="1"/>
    <n v="7"/>
    <n v="3"/>
  </r>
  <r>
    <d v="2024-07-13T00:00:00"/>
    <x v="2"/>
    <x v="8"/>
    <x v="2"/>
    <s v="Java"/>
    <n v="250"/>
    <n v="18.899999999999999"/>
    <n v="0.60199999999999998"/>
    <n v="95"/>
    <n v="62.88"/>
    <b v="0"/>
    <n v="0"/>
    <s v="Unknown"/>
    <n v="12"/>
    <n v="7"/>
    <n v="193"/>
    <b v="0"/>
    <n v="0"/>
    <n v="772"/>
    <s v="Low"/>
    <n v="0"/>
    <n v="7"/>
    <n v="3"/>
  </r>
  <r>
    <d v="2024-07-13T00:00:00"/>
    <x v="2"/>
    <x v="9"/>
    <x v="3"/>
    <s v="TypeScript"/>
    <n v="155"/>
    <n v="34.659999999999997"/>
    <n v="0.44900000000000001"/>
    <n v="184"/>
    <n v="74.150000000000006"/>
    <b v="0"/>
    <n v="1"/>
    <s v="High"/>
    <n v="17"/>
    <n v="9"/>
    <n v="258"/>
    <b v="0"/>
    <n v="6.4516129032257998"/>
    <n v="1664.5161290322501"/>
    <s v="Medium"/>
    <n v="0"/>
    <n v="7"/>
    <n v="3"/>
  </r>
  <r>
    <d v="2024-07-13T00:00:00"/>
    <x v="2"/>
    <x v="10"/>
    <x v="4"/>
    <s v="JavaScript"/>
    <n v="346"/>
    <n v="37.1"/>
    <n v="0.32500000000000001"/>
    <n v="2"/>
    <n v="75.650000000000006"/>
    <b v="0"/>
    <n v="0"/>
    <s v="Unknown"/>
    <n v="8"/>
    <n v="11"/>
    <n v="1"/>
    <b v="0"/>
    <n v="0"/>
    <n v="2.8901734104046199"/>
    <s v="Medium"/>
    <n v="0"/>
    <n v="7"/>
    <n v="3"/>
  </r>
  <r>
    <d v="2024-07-13T00:00:00"/>
    <x v="2"/>
    <x v="11"/>
    <x v="5"/>
    <s v="Python"/>
    <n v="166"/>
    <n v="38.44"/>
    <n v="0.156"/>
    <n v="105"/>
    <n v="69.12"/>
    <b v="0"/>
    <n v="1"/>
    <s v="Low"/>
    <n v="14"/>
    <n v="11"/>
    <n v="107"/>
    <b v="0"/>
    <n v="6.0240963855421601"/>
    <n v="644.57831325301197"/>
    <s v="Medium"/>
    <n v="0"/>
    <n v="7"/>
    <n v="3"/>
  </r>
  <r>
    <d v="2024-07-13T00:00:00"/>
    <x v="2"/>
    <x v="12"/>
    <x v="0"/>
    <s v="TypeScript"/>
    <n v="295"/>
    <n v="27.77"/>
    <n v="0.73499999999999999"/>
    <n v="143"/>
    <n v="52.5"/>
    <b v="0"/>
    <n v="1"/>
    <s v="Low"/>
    <n v="17"/>
    <n v="5"/>
    <n v="233"/>
    <b v="0"/>
    <n v="3.3898305084745699"/>
    <n v="789.83050847457605"/>
    <s v="Medium"/>
    <n v="1"/>
    <n v="7"/>
    <n v="3"/>
  </r>
  <r>
    <d v="2024-07-13T00:00:00"/>
    <x v="2"/>
    <x v="13"/>
    <x v="1"/>
    <s v="JavaScript"/>
    <n v="105"/>
    <n v="17.82"/>
    <n v="0.505"/>
    <n v="171"/>
    <n v="57.13"/>
    <b v="0"/>
    <n v="1"/>
    <s v="Medium"/>
    <n v="13"/>
    <n v="7"/>
    <n v="273"/>
    <b v="0"/>
    <n v="9.5238095238095202"/>
    <n v="2600"/>
    <s v="Low"/>
    <n v="1"/>
    <n v="7"/>
    <n v="3"/>
  </r>
  <r>
    <d v="2024-07-13T00:00:00"/>
    <x v="2"/>
    <x v="14"/>
    <x v="2"/>
    <s v="Python"/>
    <n v="513"/>
    <n v="19.68"/>
    <n v="0.34599999999999997"/>
    <n v="0"/>
    <n v="57.09"/>
    <b v="0"/>
    <n v="0"/>
    <s v="Unknown"/>
    <n v="5"/>
    <n v="6"/>
    <n v="1"/>
    <b v="0"/>
    <n v="0"/>
    <n v="1.94931773879142"/>
    <s v="Low"/>
    <n v="1"/>
    <n v="7"/>
    <n v="3"/>
  </r>
  <r>
    <d v="2024-07-13T00:00:00"/>
    <x v="2"/>
    <x v="15"/>
    <x v="3"/>
    <s v="C#"/>
    <n v="128"/>
    <n v="29.07"/>
    <n v="0.7"/>
    <n v="24"/>
    <n v="100"/>
    <b v="0"/>
    <n v="0"/>
    <s v="Unknown"/>
    <n v="9"/>
    <n v="3"/>
    <n v="1"/>
    <b v="0"/>
    <n v="0"/>
    <n v="7.8125"/>
    <s v="Medium"/>
    <n v="0"/>
    <n v="7"/>
    <n v="3"/>
  </r>
  <r>
    <d v="2024-07-13T00:00:00"/>
    <x v="2"/>
    <x v="16"/>
    <x v="4"/>
    <s v="JavaScript"/>
    <n v="146"/>
    <n v="40.869999999999997"/>
    <n v="0.52900000000000003"/>
    <n v="72"/>
    <n v="98.61"/>
    <b v="0"/>
    <n v="0"/>
    <s v="Unknown"/>
    <n v="6"/>
    <n v="4"/>
    <n v="105"/>
    <b v="0"/>
    <n v="0"/>
    <n v="719.17808219178005"/>
    <s v="High"/>
    <n v="0"/>
    <n v="7"/>
    <n v="3"/>
  </r>
  <r>
    <d v="2024-07-13T00:00:00"/>
    <x v="2"/>
    <x v="17"/>
    <x v="5"/>
    <s v="Python"/>
    <n v="243"/>
    <n v="16.440000000000001"/>
    <n v="0.2"/>
    <n v="70"/>
    <n v="39.15"/>
    <b v="0"/>
    <n v="0"/>
    <s v="Unknown"/>
    <n v="11"/>
    <n v="11"/>
    <n v="184"/>
    <b v="0"/>
    <n v="0"/>
    <n v="757.20164609053495"/>
    <s v="Low"/>
    <n v="1"/>
    <n v="7"/>
    <n v="3"/>
  </r>
  <r>
    <d v="2024-07-13T00:00:00"/>
    <x v="2"/>
    <x v="18"/>
    <x v="0"/>
    <s v="C#"/>
    <n v="725"/>
    <n v="41.68"/>
    <n v="0.27500000000000002"/>
    <n v="117"/>
    <n v="28.27"/>
    <b v="0"/>
    <n v="1"/>
    <s v="Medium"/>
    <n v="11"/>
    <n v="7"/>
    <n v="184"/>
    <b v="0"/>
    <n v="1.3793103448275801"/>
    <n v="253.79310344827499"/>
    <s v="High"/>
    <n v="1"/>
    <n v="7"/>
    <n v="3"/>
  </r>
  <r>
    <d v="2024-07-13T00:00:00"/>
    <x v="2"/>
    <x v="19"/>
    <x v="1"/>
    <s v="Java"/>
    <n v="193"/>
    <n v="32.57"/>
    <n v="8.8999999999999996E-2"/>
    <n v="4"/>
    <n v="87.9"/>
    <b v="0"/>
    <n v="0"/>
    <s v="Unknown"/>
    <n v="7"/>
    <n v="10"/>
    <n v="9"/>
    <b v="0"/>
    <n v="0"/>
    <n v="46.632124352331601"/>
    <s v="Medium"/>
    <n v="0"/>
    <n v="7"/>
    <n v="3"/>
  </r>
  <r>
    <d v="2024-07-13T00:00:00"/>
    <x v="2"/>
    <x v="20"/>
    <x v="2"/>
    <s v="Python"/>
    <n v="225"/>
    <n v="40.93"/>
    <n v="0.58599999999999997"/>
    <n v="107"/>
    <n v="63.41"/>
    <b v="0"/>
    <n v="2"/>
    <s v="Medium"/>
    <n v="12"/>
    <n v="11"/>
    <n v="237"/>
    <b v="0"/>
    <n v="8.8888888888888893"/>
    <n v="1053.3333333333301"/>
    <s v="High"/>
    <n v="0"/>
    <n v="7"/>
    <n v="3"/>
  </r>
  <r>
    <d v="2024-07-13T00:00:00"/>
    <x v="2"/>
    <x v="21"/>
    <x v="3"/>
    <s v="C#"/>
    <n v="80"/>
    <n v="41.74"/>
    <n v="0.78"/>
    <n v="85"/>
    <n v="49.29"/>
    <b v="0"/>
    <n v="1"/>
    <s v="Medium"/>
    <n v="12"/>
    <n v="10"/>
    <n v="76"/>
    <b v="0"/>
    <n v="12.5"/>
    <n v="950"/>
    <s v="High"/>
    <n v="1"/>
    <n v="7"/>
    <n v="3"/>
  </r>
  <r>
    <d v="2024-07-13T00:00:00"/>
    <x v="2"/>
    <x v="22"/>
    <x v="4"/>
    <s v="Java"/>
    <n v="331"/>
    <n v="17.87"/>
    <n v="0.92400000000000004"/>
    <n v="203"/>
    <n v="45.03"/>
    <b v="0"/>
    <n v="2"/>
    <s v="High"/>
    <n v="18"/>
    <n v="7"/>
    <n v="243"/>
    <b v="0"/>
    <n v="6.0422960725075496"/>
    <n v="734.13897280966705"/>
    <s v="Low"/>
    <n v="1"/>
    <n v="7"/>
    <n v="3"/>
  </r>
  <r>
    <d v="2024-07-13T00:00:00"/>
    <x v="2"/>
    <x v="23"/>
    <x v="5"/>
    <s v="TypeScript"/>
    <n v="168"/>
    <n v="31.15"/>
    <n v="9.1999999999999998E-2"/>
    <n v="0"/>
    <n v="75.78"/>
    <b v="0"/>
    <n v="0"/>
    <s v="Unknown"/>
    <n v="7"/>
    <n v="11"/>
    <n v="46"/>
    <b v="0"/>
    <n v="0"/>
    <n v="273.809523809523"/>
    <s v="Medium"/>
    <n v="0"/>
    <n v="7"/>
    <n v="3"/>
  </r>
  <r>
    <d v="2024-07-13T00:00:00"/>
    <x v="2"/>
    <x v="24"/>
    <x v="0"/>
    <s v="C#"/>
    <n v="292"/>
    <n v="26.01"/>
    <n v="0.187"/>
    <n v="0"/>
    <n v="45.96"/>
    <b v="0"/>
    <n v="0"/>
    <s v="Unknown"/>
    <n v="5"/>
    <n v="3"/>
    <n v="37"/>
    <b v="0"/>
    <n v="0"/>
    <n v="126.712328767123"/>
    <s v="Medium"/>
    <n v="1"/>
    <n v="7"/>
    <n v="3"/>
  </r>
  <r>
    <d v="2024-07-13T00:00:00"/>
    <x v="2"/>
    <x v="25"/>
    <x v="1"/>
    <s v="Java"/>
    <n v="521"/>
    <n v="25.74"/>
    <n v="0.41099999999999998"/>
    <n v="62"/>
    <n v="77.290000000000006"/>
    <b v="0"/>
    <n v="0"/>
    <s v="Unknown"/>
    <n v="12"/>
    <n v="3"/>
    <n v="130"/>
    <b v="0"/>
    <n v="0"/>
    <n v="249.520153550863"/>
    <s v="Medium"/>
    <n v="0"/>
    <n v="7"/>
    <n v="3"/>
  </r>
  <r>
    <d v="2024-07-13T00:00:00"/>
    <x v="2"/>
    <x v="26"/>
    <x v="2"/>
    <s v="TypeScript"/>
    <n v="80"/>
    <n v="40.369999999999997"/>
    <n v="0.35799999999999998"/>
    <n v="126"/>
    <n v="63.9"/>
    <b v="0"/>
    <n v="2"/>
    <s v="Medium"/>
    <n v="11"/>
    <n v="5"/>
    <n v="138"/>
    <b v="0"/>
    <n v="25"/>
    <n v="1725"/>
    <s v="High"/>
    <n v="0"/>
    <n v="7"/>
    <n v="3"/>
  </r>
  <r>
    <d v="2024-07-13T00:00:00"/>
    <x v="2"/>
    <x v="27"/>
    <x v="3"/>
    <s v="JavaScript"/>
    <n v="166"/>
    <n v="14.32"/>
    <n v="0.79400000000000004"/>
    <n v="64"/>
    <n v="93.9"/>
    <b v="0"/>
    <n v="0"/>
    <s v="Unknown"/>
    <n v="11"/>
    <n v="4"/>
    <n v="132"/>
    <b v="0"/>
    <n v="0"/>
    <n v="795.18072289156601"/>
    <s v="Low"/>
    <n v="0"/>
    <n v="7"/>
    <n v="3"/>
  </r>
  <r>
    <d v="2024-07-13T00:00:00"/>
    <x v="2"/>
    <x v="28"/>
    <x v="4"/>
    <s v="Java"/>
    <n v="391"/>
    <n v="25.3"/>
    <n v="0.374"/>
    <n v="28"/>
    <n v="88.65"/>
    <b v="0"/>
    <n v="1"/>
    <s v="Medium"/>
    <n v="11"/>
    <n v="10"/>
    <n v="50"/>
    <b v="0"/>
    <n v="2.5575447570332401"/>
    <n v="127.877237851662"/>
    <s v="Medium"/>
    <n v="0"/>
    <n v="7"/>
    <n v="3"/>
  </r>
  <r>
    <d v="2024-07-13T00:00:00"/>
    <x v="2"/>
    <x v="29"/>
    <x v="5"/>
    <s v="TypeScript"/>
    <n v="432"/>
    <n v="32.93"/>
    <n v="0.67600000000000005"/>
    <n v="89"/>
    <n v="93.78"/>
    <b v="0"/>
    <n v="2"/>
    <s v="High"/>
    <n v="13"/>
    <n v="7"/>
    <n v="69"/>
    <b v="0"/>
    <n v="4.6296296296296298"/>
    <n v="159.722222222222"/>
    <s v="Medium"/>
    <n v="0"/>
    <n v="7"/>
    <n v="3"/>
  </r>
  <r>
    <d v="2024-07-13T00:00:00"/>
    <x v="2"/>
    <x v="30"/>
    <x v="0"/>
    <s v="JavaScript"/>
    <n v="246"/>
    <n v="39.14"/>
    <n v="0.72799999999999998"/>
    <n v="102"/>
    <n v="100"/>
    <b v="0"/>
    <n v="0"/>
    <s v="Unknown"/>
    <n v="8"/>
    <n v="8"/>
    <n v="155"/>
    <b v="0"/>
    <n v="0"/>
    <n v="630.08130081300806"/>
    <s v="Medium"/>
    <n v="0"/>
    <n v="7"/>
    <n v="3"/>
  </r>
  <r>
    <d v="2024-07-13T00:00:00"/>
    <x v="2"/>
    <x v="31"/>
    <x v="1"/>
    <s v="Python"/>
    <n v="116"/>
    <n v="40.58"/>
    <n v="0.90300000000000002"/>
    <n v="69"/>
    <n v="56.05"/>
    <b v="0"/>
    <n v="4"/>
    <s v="Medium"/>
    <n v="12"/>
    <n v="7"/>
    <n v="80"/>
    <b v="0"/>
    <n v="34.482758620689602"/>
    <n v="689.65517241379303"/>
    <s v="High"/>
    <n v="1"/>
    <n v="7"/>
    <n v="3"/>
  </r>
  <r>
    <d v="2024-07-13T00:00:00"/>
    <x v="2"/>
    <x v="32"/>
    <x v="2"/>
    <s v="TypeScript"/>
    <n v="128"/>
    <n v="46.89"/>
    <n v="0.05"/>
    <n v="60"/>
    <n v="100"/>
    <b v="0"/>
    <n v="0"/>
    <s v="Unknown"/>
    <n v="7"/>
    <n v="2"/>
    <n v="144"/>
    <b v="0"/>
    <n v="0"/>
    <n v="1125"/>
    <s v="High"/>
    <n v="0"/>
    <n v="7"/>
    <n v="3"/>
  </r>
  <r>
    <d v="2024-07-13T00:00:00"/>
    <x v="2"/>
    <x v="33"/>
    <x v="3"/>
    <s v="JavaScript"/>
    <n v="132"/>
    <n v="14.5"/>
    <n v="0.68600000000000005"/>
    <n v="68"/>
    <n v="23.19"/>
    <b v="0"/>
    <n v="0"/>
    <s v="Unknown"/>
    <n v="13"/>
    <n v="4"/>
    <n v="78"/>
    <b v="0"/>
    <n v="0"/>
    <n v="590.90909090908997"/>
    <s v="Low"/>
    <n v="1"/>
    <n v="7"/>
    <n v="3"/>
  </r>
  <r>
    <d v="2024-07-13T00:00:00"/>
    <x v="2"/>
    <x v="34"/>
    <x v="4"/>
    <s v="Python"/>
    <n v="225"/>
    <n v="34.26"/>
    <n v="0.82799999999999996"/>
    <n v="120"/>
    <n v="84.28"/>
    <b v="0"/>
    <n v="1"/>
    <s v="Medium"/>
    <n v="9"/>
    <n v="3"/>
    <n v="165"/>
    <b v="0"/>
    <n v="4.4444444444444402"/>
    <n v="733.33333333333303"/>
    <s v="Medium"/>
    <n v="0"/>
    <n v="7"/>
    <n v="3"/>
  </r>
  <r>
    <d v="2024-07-13T00:00:00"/>
    <x v="2"/>
    <x v="35"/>
    <x v="5"/>
    <s v="C#"/>
    <n v="262"/>
    <n v="35.5"/>
    <n v="0.56399999999999995"/>
    <n v="130"/>
    <n v="61.21"/>
    <b v="0"/>
    <n v="0"/>
    <s v="Unknown"/>
    <n v="16"/>
    <n v="8"/>
    <n v="209"/>
    <b v="0"/>
    <n v="0"/>
    <n v="797.70992366412202"/>
    <s v="Medium"/>
    <n v="0"/>
    <n v="7"/>
    <n v="3"/>
  </r>
  <r>
    <d v="2024-07-13T00:00:00"/>
    <x v="2"/>
    <x v="36"/>
    <x v="0"/>
    <s v="JavaScript"/>
    <n v="220"/>
    <n v="31.92"/>
    <n v="0.14399999999999999"/>
    <n v="0"/>
    <n v="40.229999999999997"/>
    <b v="0"/>
    <n v="0"/>
    <s v="Unknown"/>
    <n v="6"/>
    <n v="1"/>
    <n v="1"/>
    <b v="0"/>
    <n v="0"/>
    <n v="4.5454545454545396"/>
    <s v="Medium"/>
    <n v="1"/>
    <n v="7"/>
    <n v="3"/>
  </r>
  <r>
    <d v="2024-07-13T00:00:00"/>
    <x v="2"/>
    <x v="37"/>
    <x v="1"/>
    <s v="Python"/>
    <n v="217"/>
    <n v="20.49"/>
    <n v="0.14000000000000001"/>
    <n v="48"/>
    <n v="39.96"/>
    <b v="0"/>
    <n v="0"/>
    <s v="Unknown"/>
    <n v="7"/>
    <n v="7"/>
    <n v="61"/>
    <b v="0"/>
    <n v="0"/>
    <n v="281.10599078340999"/>
    <s v="Medium"/>
    <n v="1"/>
    <n v="7"/>
    <n v="3"/>
  </r>
  <r>
    <d v="2024-07-13T00:00:00"/>
    <x v="2"/>
    <x v="38"/>
    <x v="2"/>
    <s v="C#"/>
    <n v="243"/>
    <n v="28.83"/>
    <n v="0.55700000000000005"/>
    <n v="89"/>
    <n v="60.75"/>
    <b v="0"/>
    <n v="1"/>
    <s v="Low"/>
    <n v="14"/>
    <n v="11"/>
    <n v="184"/>
    <b v="0"/>
    <n v="4.1152263374485596"/>
    <n v="757.20164609053495"/>
    <s v="Medium"/>
    <n v="0"/>
    <n v="7"/>
    <n v="3"/>
  </r>
  <r>
    <d v="2024-07-13T00:00:00"/>
    <x v="2"/>
    <x v="39"/>
    <x v="3"/>
    <s v="Java"/>
    <n v="129"/>
    <n v="37"/>
    <n v="0.40100000000000002"/>
    <n v="5"/>
    <n v="91.52"/>
    <b v="0"/>
    <n v="0"/>
    <s v="Unknown"/>
    <n v="11"/>
    <n v="2"/>
    <n v="72"/>
    <b v="0"/>
    <n v="0"/>
    <n v="558.13953488371999"/>
    <s v="Medium"/>
    <n v="0"/>
    <n v="7"/>
    <n v="3"/>
  </r>
  <r>
    <d v="2024-07-13T00:00:00"/>
    <x v="2"/>
    <x v="40"/>
    <x v="4"/>
    <s v="Python"/>
    <n v="203"/>
    <n v="31.41"/>
    <n v="0.84499999999999997"/>
    <n v="188"/>
    <n v="79.510000000000005"/>
    <b v="0"/>
    <n v="0"/>
    <s v="Unknown"/>
    <n v="13"/>
    <n v="3"/>
    <n v="294"/>
    <b v="0"/>
    <n v="0"/>
    <n v="1448.2758620689599"/>
    <s v="Medium"/>
    <n v="0"/>
    <n v="7"/>
    <n v="3"/>
  </r>
  <r>
    <d v="2024-07-13T00:00:00"/>
    <x v="2"/>
    <x v="41"/>
    <x v="5"/>
    <s v="C#"/>
    <n v="80"/>
    <n v="40.9"/>
    <n v="0.626"/>
    <n v="47"/>
    <n v="78.41"/>
    <b v="0"/>
    <n v="0"/>
    <s v="Unknown"/>
    <n v="15"/>
    <n v="1"/>
    <n v="43"/>
    <b v="0"/>
    <n v="0"/>
    <n v="537.5"/>
    <s v="High"/>
    <n v="0"/>
    <n v="7"/>
    <n v="3"/>
  </r>
  <r>
    <d v="2024-07-13T00:00:00"/>
    <x v="2"/>
    <x v="42"/>
    <x v="0"/>
    <s v="Java"/>
    <n v="125"/>
    <n v="37.74"/>
    <n v="0.44500000000000001"/>
    <n v="169"/>
    <n v="95.79"/>
    <b v="0"/>
    <n v="0"/>
    <s v="Unknown"/>
    <n v="15"/>
    <n v="5"/>
    <n v="274"/>
    <b v="0"/>
    <n v="0"/>
    <n v="2192"/>
    <s v="Medium"/>
    <n v="0"/>
    <n v="7"/>
    <n v="3"/>
  </r>
  <r>
    <d v="2024-07-13T00:00:00"/>
    <x v="2"/>
    <x v="43"/>
    <x v="1"/>
    <s v="TypeScript"/>
    <n v="304"/>
    <n v="43.53"/>
    <n v="0.46700000000000003"/>
    <n v="124"/>
    <n v="95.72"/>
    <b v="0"/>
    <n v="1"/>
    <s v="Medium"/>
    <n v="14"/>
    <n v="4"/>
    <n v="138"/>
    <b v="0"/>
    <n v="3.2894736842105199"/>
    <n v="453.94736842105198"/>
    <s v="High"/>
    <n v="0"/>
    <n v="7"/>
    <n v="3"/>
  </r>
  <r>
    <d v="2024-07-13T00:00:00"/>
    <x v="2"/>
    <x v="44"/>
    <x v="2"/>
    <s v="C#"/>
    <n v="261"/>
    <n v="29.5"/>
    <n v="0.439"/>
    <n v="101"/>
    <n v="59.78"/>
    <b v="0"/>
    <n v="3"/>
    <s v="Medium"/>
    <n v="15"/>
    <n v="2"/>
    <n v="136"/>
    <b v="0"/>
    <n v="11.4942528735632"/>
    <n v="521.07279693486498"/>
    <s v="Medium"/>
    <n v="1"/>
    <n v="7"/>
    <n v="3"/>
  </r>
  <r>
    <d v="2024-07-13T00:00:00"/>
    <x v="2"/>
    <x v="45"/>
    <x v="3"/>
    <s v="Java"/>
    <n v="405"/>
    <n v="21.79"/>
    <n v="0.68899999999999995"/>
    <n v="115"/>
    <n v="64.400000000000006"/>
    <b v="0"/>
    <n v="2"/>
    <s v="Low"/>
    <n v="14"/>
    <n v="2"/>
    <n v="92"/>
    <b v="0"/>
    <n v="4.9382716049382704"/>
    <n v="227.16049382716"/>
    <s v="Medium"/>
    <n v="0"/>
    <n v="7"/>
    <n v="3"/>
  </r>
  <r>
    <d v="2024-07-13T00:00:00"/>
    <x v="2"/>
    <x v="46"/>
    <x v="4"/>
    <s v="TypeScript"/>
    <n v="83"/>
    <n v="23.43"/>
    <n v="0.17799999999999999"/>
    <n v="113"/>
    <n v="67.67"/>
    <b v="0"/>
    <n v="0"/>
    <s v="Unknown"/>
    <n v="18"/>
    <n v="3"/>
    <n v="152"/>
    <b v="0"/>
    <n v="0"/>
    <n v="1831.3253012048101"/>
    <s v="Medium"/>
    <n v="0"/>
    <n v="7"/>
    <n v="3"/>
  </r>
  <r>
    <d v="2024-07-13T00:00:00"/>
    <x v="2"/>
    <x v="47"/>
    <x v="5"/>
    <s v="JavaScript"/>
    <n v="306"/>
    <n v="39.549999999999997"/>
    <n v="0.497"/>
    <n v="75"/>
    <n v="42.81"/>
    <b v="0"/>
    <n v="0"/>
    <s v="Unknown"/>
    <n v="11"/>
    <n v="5"/>
    <n v="94"/>
    <b v="0"/>
    <n v="0"/>
    <n v="307.18954248365998"/>
    <s v="Medium"/>
    <n v="1"/>
    <n v="7"/>
    <n v="3"/>
  </r>
  <r>
    <d v="2024-07-13T00:00:00"/>
    <x v="2"/>
    <x v="48"/>
    <x v="0"/>
    <s v="Java"/>
    <n v="112"/>
    <n v="19.510000000000002"/>
    <n v="0.67"/>
    <n v="182"/>
    <n v="51.68"/>
    <b v="0"/>
    <n v="1"/>
    <s v="Low"/>
    <n v="12"/>
    <n v="5"/>
    <n v="235"/>
    <b v="0"/>
    <n v="8.9285714285714199"/>
    <n v="2098.2142857142799"/>
    <s v="Low"/>
    <n v="1"/>
    <n v="7"/>
    <n v="3"/>
  </r>
  <r>
    <d v="2024-07-13T00:00:00"/>
    <x v="2"/>
    <x v="49"/>
    <x v="1"/>
    <s v="TypeScript"/>
    <n v="291"/>
    <n v="42.31"/>
    <n v="0.24099999999999999"/>
    <n v="142"/>
    <n v="29.01"/>
    <b v="0"/>
    <n v="3"/>
    <s v="Critical"/>
    <n v="13"/>
    <n v="6"/>
    <n v="178"/>
    <b v="0"/>
    <n v="10.309278350515401"/>
    <n v="611.68384879724999"/>
    <s v="High"/>
    <n v="1"/>
    <n v="7"/>
    <n v="3"/>
  </r>
  <r>
    <d v="2024-07-13T00:00:00"/>
    <x v="2"/>
    <x v="50"/>
    <x v="2"/>
    <s v="JavaScript"/>
    <n v="80"/>
    <n v="32.79"/>
    <n v="0.34499999999999997"/>
    <n v="160"/>
    <n v="59.84"/>
    <b v="0"/>
    <n v="0"/>
    <s v="Unknown"/>
    <n v="17"/>
    <n v="7"/>
    <n v="167"/>
    <b v="0"/>
    <n v="0"/>
    <n v="2087.5"/>
    <s v="Medium"/>
    <n v="1"/>
    <n v="7"/>
    <n v="3"/>
  </r>
  <r>
    <d v="2024-07-13T00:00:00"/>
    <x v="2"/>
    <x v="51"/>
    <x v="3"/>
    <s v="Python"/>
    <n v="131"/>
    <n v="42.11"/>
    <n v="0.505"/>
    <n v="178"/>
    <n v="58.3"/>
    <b v="0"/>
    <n v="2"/>
    <s v="Medium"/>
    <n v="7"/>
    <n v="1"/>
    <n v="217"/>
    <b v="0"/>
    <n v="15.267175572518999"/>
    <n v="1656.4885496183199"/>
    <s v="High"/>
    <n v="1"/>
    <n v="7"/>
    <n v="3"/>
  </r>
  <r>
    <d v="2024-07-13T00:00:00"/>
    <x v="2"/>
    <x v="52"/>
    <x v="4"/>
    <s v="TypeScript"/>
    <n v="163"/>
    <n v="12.01"/>
    <n v="0.77500000000000002"/>
    <n v="207"/>
    <n v="66.09"/>
    <b v="0"/>
    <n v="0"/>
    <s v="Unknown"/>
    <n v="19"/>
    <n v="7"/>
    <n v="325"/>
    <b v="0"/>
    <n v="0"/>
    <n v="1993.86503067484"/>
    <s v="Low"/>
    <n v="0"/>
    <n v="7"/>
    <n v="3"/>
  </r>
  <r>
    <d v="2024-07-13T00:00:00"/>
    <x v="2"/>
    <x v="53"/>
    <x v="5"/>
    <s v="JavaScript"/>
    <n v="80"/>
    <n v="28.03"/>
    <n v="0.77700000000000002"/>
    <n v="60"/>
    <n v="65.150000000000006"/>
    <b v="0"/>
    <n v="1"/>
    <s v="Low"/>
    <n v="13"/>
    <n v="7"/>
    <n v="172"/>
    <b v="0"/>
    <n v="12.5"/>
    <n v="2150"/>
    <s v="Medium"/>
    <n v="0"/>
    <n v="7"/>
    <n v="3"/>
  </r>
  <r>
    <d v="2024-07-13T00:00:00"/>
    <x v="2"/>
    <x v="54"/>
    <x v="0"/>
    <s v="Python"/>
    <n v="112"/>
    <n v="16.34"/>
    <n v="0.78700000000000003"/>
    <n v="40"/>
    <n v="73.05"/>
    <b v="0"/>
    <n v="2"/>
    <s v="Medium"/>
    <n v="9"/>
    <n v="9"/>
    <n v="70"/>
    <b v="0"/>
    <n v="17.857142857142801"/>
    <n v="625"/>
    <s v="Low"/>
    <n v="0"/>
    <n v="7"/>
    <n v="3"/>
  </r>
  <r>
    <d v="2024-07-13T00:00:00"/>
    <x v="2"/>
    <x v="55"/>
    <x v="1"/>
    <s v="C#"/>
    <n v="582"/>
    <n v="14.06"/>
    <n v="0.05"/>
    <n v="129"/>
    <n v="87.49"/>
    <b v="0"/>
    <n v="1"/>
    <s v="Medium"/>
    <n v="9"/>
    <n v="6"/>
    <n v="207"/>
    <b v="0"/>
    <n v="1.7182130584192401"/>
    <n v="355.67010309278299"/>
    <s v="Low"/>
    <n v="0"/>
    <n v="7"/>
    <n v="3"/>
  </r>
  <r>
    <d v="2024-07-13T00:00:00"/>
    <x v="2"/>
    <x v="56"/>
    <x v="2"/>
    <s v="JavaScript"/>
    <n v="351"/>
    <n v="27.29"/>
    <n v="0.434"/>
    <n v="71"/>
    <n v="100"/>
    <b v="0"/>
    <n v="0"/>
    <s v="Unknown"/>
    <n v="8"/>
    <n v="2"/>
    <n v="112"/>
    <b v="0"/>
    <n v="0"/>
    <n v="319.088319088319"/>
    <s v="Medium"/>
    <n v="0"/>
    <n v="7"/>
    <n v="3"/>
  </r>
  <r>
    <d v="2024-07-13T00:00:00"/>
    <x v="2"/>
    <x v="57"/>
    <x v="3"/>
    <s v="Python"/>
    <n v="244"/>
    <n v="42.21"/>
    <n v="0.80900000000000005"/>
    <n v="17"/>
    <n v="68.739999999999995"/>
    <b v="0"/>
    <n v="0"/>
    <s v="Unknown"/>
    <n v="16"/>
    <n v="6"/>
    <n v="33"/>
    <b v="0"/>
    <n v="0"/>
    <n v="135.245901639344"/>
    <s v="High"/>
    <n v="0"/>
    <n v="7"/>
    <n v="3"/>
  </r>
  <r>
    <d v="2024-07-13T00:00:00"/>
    <x v="2"/>
    <x v="58"/>
    <x v="4"/>
    <s v="C#"/>
    <n v="159"/>
    <n v="58.27"/>
    <n v="0.33600000000000002"/>
    <n v="51"/>
    <n v="63.18"/>
    <b v="0"/>
    <n v="2"/>
    <s v="High"/>
    <n v="12"/>
    <n v="9"/>
    <n v="84"/>
    <b v="0"/>
    <n v="12.5786163522012"/>
    <n v="528.30188679245202"/>
    <s v="High"/>
    <n v="0"/>
    <n v="7"/>
    <n v="3"/>
  </r>
  <r>
    <d v="2024-07-13T00:00:00"/>
    <x v="2"/>
    <x v="59"/>
    <x v="5"/>
    <s v="Java"/>
    <n v="152"/>
    <n v="39.22"/>
    <n v="0.05"/>
    <n v="196"/>
    <n v="87.63"/>
    <b v="0"/>
    <n v="0"/>
    <s v="Unknown"/>
    <n v="9"/>
    <n v="11"/>
    <n v="241"/>
    <b v="0"/>
    <n v="0"/>
    <n v="1585.5263157894699"/>
    <s v="Medium"/>
    <n v="0"/>
    <n v="7"/>
    <n v="3"/>
  </r>
  <r>
    <d v="2024-10-11T00:00:00"/>
    <x v="3"/>
    <x v="0"/>
    <x v="0"/>
    <s v="Python"/>
    <n v="103"/>
    <n v="20.309999999999999"/>
    <n v="0.81599999999999995"/>
    <n v="100"/>
    <n v="71.3"/>
    <b v="0"/>
    <n v="0"/>
    <s v="Unknown"/>
    <n v="10"/>
    <n v="11"/>
    <n v="219"/>
    <b v="0"/>
    <n v="0"/>
    <n v="2126.2135922330099"/>
    <s v="Medium"/>
    <n v="0"/>
    <n v="10"/>
    <n v="4"/>
  </r>
  <r>
    <d v="2024-10-11T00:00:00"/>
    <x v="3"/>
    <x v="1"/>
    <x v="1"/>
    <s v="C#"/>
    <n v="215"/>
    <n v="31.29"/>
    <n v="0.69599999999999995"/>
    <n v="94"/>
    <n v="53.85"/>
    <b v="0"/>
    <n v="0"/>
    <s v="Unknown"/>
    <n v="12"/>
    <n v="10"/>
    <n v="167"/>
    <b v="0"/>
    <n v="0"/>
    <n v="776.744186046511"/>
    <s v="Medium"/>
    <n v="1"/>
    <n v="10"/>
    <n v="4"/>
  </r>
  <r>
    <d v="2024-10-11T00:00:00"/>
    <x v="3"/>
    <x v="2"/>
    <x v="2"/>
    <s v="Java"/>
    <n v="176"/>
    <n v="37.99"/>
    <n v="0.73699999999999999"/>
    <n v="30"/>
    <n v="55.66"/>
    <b v="0"/>
    <n v="3"/>
    <s v="High"/>
    <n v="10"/>
    <n v="1"/>
    <n v="18"/>
    <b v="0"/>
    <n v="17.045454545454501"/>
    <n v="102.272727272727"/>
    <s v="Medium"/>
    <n v="1"/>
    <n v="10"/>
    <n v="4"/>
  </r>
  <r>
    <d v="2024-10-11T00:00:00"/>
    <x v="3"/>
    <x v="3"/>
    <x v="3"/>
    <s v="TypeScript"/>
    <n v="150"/>
    <n v="36.89"/>
    <n v="0.21299999999999999"/>
    <n v="71"/>
    <n v="76.78"/>
    <b v="0"/>
    <n v="0"/>
    <s v="Unknown"/>
    <n v="12"/>
    <n v="4"/>
    <n v="42"/>
    <b v="0"/>
    <n v="0"/>
    <n v="280"/>
    <s v="Medium"/>
    <n v="0"/>
    <n v="10"/>
    <n v="4"/>
  </r>
  <r>
    <d v="2024-10-11T00:00:00"/>
    <x v="3"/>
    <x v="4"/>
    <x v="4"/>
    <s v="C#"/>
    <n v="235"/>
    <n v="40.270000000000003"/>
    <n v="0.54400000000000004"/>
    <n v="196"/>
    <n v="75.959999999999994"/>
    <b v="0"/>
    <n v="1"/>
    <s v="Low"/>
    <n v="16"/>
    <n v="6"/>
    <n v="299"/>
    <b v="0"/>
    <n v="4.2553191489361701"/>
    <n v="1272.3404255319099"/>
    <s v="High"/>
    <n v="0"/>
    <n v="10"/>
    <n v="4"/>
  </r>
  <r>
    <d v="2024-10-11T00:00:00"/>
    <x v="3"/>
    <x v="5"/>
    <x v="5"/>
    <s v="Java"/>
    <n v="333"/>
    <n v="28.39"/>
    <n v="0.36399999999999999"/>
    <n v="152"/>
    <n v="52.93"/>
    <b v="0"/>
    <n v="2"/>
    <s v="Medium"/>
    <n v="11"/>
    <n v="10"/>
    <n v="252"/>
    <b v="0"/>
    <n v="6.0060060060060003"/>
    <n v="756.75675675675598"/>
    <s v="Medium"/>
    <n v="1"/>
    <n v="10"/>
    <n v="4"/>
  </r>
  <r>
    <d v="2024-10-11T00:00:00"/>
    <x v="3"/>
    <x v="6"/>
    <x v="0"/>
    <s v="TypeScript"/>
    <n v="199"/>
    <n v="19.52"/>
    <n v="0.107"/>
    <n v="138"/>
    <n v="46.46"/>
    <b v="0"/>
    <n v="1"/>
    <s v="High"/>
    <n v="11"/>
    <n v="4"/>
    <n v="201"/>
    <b v="0"/>
    <n v="5.0251256281407004"/>
    <n v="1010.05025125628"/>
    <s v="Low"/>
    <n v="1"/>
    <n v="10"/>
    <n v="4"/>
  </r>
  <r>
    <d v="2024-10-11T00:00:00"/>
    <x v="3"/>
    <x v="7"/>
    <x v="1"/>
    <s v="JavaScript"/>
    <n v="104"/>
    <n v="11.72"/>
    <n v="0.51400000000000001"/>
    <n v="80"/>
    <n v="64.900000000000006"/>
    <b v="0"/>
    <n v="0"/>
    <s v="Unknown"/>
    <n v="9"/>
    <n v="5"/>
    <n v="173"/>
    <b v="0"/>
    <n v="0"/>
    <n v="1663.4615384615299"/>
    <s v="Low"/>
    <n v="0"/>
    <n v="10"/>
    <n v="4"/>
  </r>
  <r>
    <d v="2024-10-11T00:00:00"/>
    <x v="3"/>
    <x v="8"/>
    <x v="2"/>
    <s v="Java"/>
    <n v="250"/>
    <n v="21.83"/>
    <n v="0.81899999999999995"/>
    <n v="145"/>
    <n v="72.709999999999994"/>
    <b v="0"/>
    <n v="1"/>
    <s v="High"/>
    <n v="15"/>
    <n v="3"/>
    <n v="226"/>
    <b v="0"/>
    <n v="4"/>
    <n v="904"/>
    <s v="Medium"/>
    <n v="0"/>
    <n v="10"/>
    <n v="4"/>
  </r>
  <r>
    <d v="2024-10-11T00:00:00"/>
    <x v="3"/>
    <x v="9"/>
    <x v="3"/>
    <s v="TypeScript"/>
    <n v="155"/>
    <n v="36.6"/>
    <n v="0.432"/>
    <n v="179"/>
    <n v="69.42"/>
    <b v="0"/>
    <n v="0"/>
    <s v="Unknown"/>
    <n v="22"/>
    <n v="11"/>
    <n v="319"/>
    <b v="0"/>
    <n v="0"/>
    <n v="2058.0645161290299"/>
    <s v="Medium"/>
    <n v="0"/>
    <n v="10"/>
    <n v="4"/>
  </r>
  <r>
    <d v="2024-10-11T00:00:00"/>
    <x v="3"/>
    <x v="10"/>
    <x v="4"/>
    <s v="JavaScript"/>
    <n v="346"/>
    <n v="46.38"/>
    <n v="0.50900000000000001"/>
    <n v="58"/>
    <n v="64.31"/>
    <b v="0"/>
    <n v="2"/>
    <s v="Low"/>
    <n v="6"/>
    <n v="6"/>
    <n v="108"/>
    <b v="0"/>
    <n v="5.7803468208092399"/>
    <n v="312.13872832369901"/>
    <s v="High"/>
    <n v="0"/>
    <n v="10"/>
    <n v="4"/>
  </r>
  <r>
    <d v="2024-10-11T00:00:00"/>
    <x v="3"/>
    <x v="11"/>
    <x v="5"/>
    <s v="Python"/>
    <n v="166"/>
    <n v="45.85"/>
    <n v="0.14599999999999999"/>
    <n v="128"/>
    <n v="77.3"/>
    <b v="0"/>
    <n v="1"/>
    <s v="Low"/>
    <n v="21"/>
    <n v="7"/>
    <n v="104"/>
    <b v="0"/>
    <n v="6.0240963855421601"/>
    <n v="626.50602409638498"/>
    <s v="High"/>
    <n v="0"/>
    <n v="10"/>
    <n v="4"/>
  </r>
  <r>
    <d v="2024-10-11T00:00:00"/>
    <x v="3"/>
    <x v="12"/>
    <x v="0"/>
    <s v="TypeScript"/>
    <n v="295"/>
    <n v="13.63"/>
    <n v="0.83599999999999997"/>
    <n v="128"/>
    <n v="52.32"/>
    <b v="0"/>
    <n v="0"/>
    <s v="Unknown"/>
    <n v="10"/>
    <n v="2"/>
    <n v="202"/>
    <b v="0"/>
    <n v="0"/>
    <n v="684.74576271186402"/>
    <s v="Low"/>
    <n v="1"/>
    <n v="10"/>
    <n v="4"/>
  </r>
  <r>
    <d v="2024-10-11T00:00:00"/>
    <x v="3"/>
    <x v="13"/>
    <x v="1"/>
    <s v="JavaScript"/>
    <n v="105"/>
    <n v="16.36"/>
    <n v="0.68500000000000005"/>
    <n v="162"/>
    <n v="58.91"/>
    <b v="0"/>
    <n v="1"/>
    <s v="High"/>
    <n v="7"/>
    <n v="7"/>
    <n v="227"/>
    <b v="0"/>
    <n v="9.5238095238095202"/>
    <n v="2161.9047619047601"/>
    <s v="Low"/>
    <n v="1"/>
    <n v="10"/>
    <n v="4"/>
  </r>
  <r>
    <d v="2024-10-11T00:00:00"/>
    <x v="3"/>
    <x v="14"/>
    <x v="2"/>
    <s v="Python"/>
    <n v="513"/>
    <n v="17.93"/>
    <n v="0.33300000000000002"/>
    <n v="25"/>
    <n v="56.45"/>
    <b v="0"/>
    <n v="1"/>
    <s v="Medium"/>
    <n v="10"/>
    <n v="8"/>
    <n v="44"/>
    <b v="0"/>
    <n v="1.94931773879142"/>
    <n v="85.769980506822606"/>
    <s v="Low"/>
    <n v="1"/>
    <n v="10"/>
    <n v="4"/>
  </r>
  <r>
    <d v="2024-10-11T00:00:00"/>
    <x v="3"/>
    <x v="15"/>
    <x v="3"/>
    <s v="C#"/>
    <n v="128"/>
    <n v="24.56"/>
    <n v="0.58199999999999996"/>
    <n v="59"/>
    <n v="84.52"/>
    <b v="0"/>
    <n v="0"/>
    <s v="Unknown"/>
    <n v="11"/>
    <n v="8"/>
    <n v="23"/>
    <b v="0"/>
    <n v="0"/>
    <n v="179.6875"/>
    <s v="Medium"/>
    <n v="0"/>
    <n v="10"/>
    <n v="4"/>
  </r>
  <r>
    <d v="2024-10-11T00:00:00"/>
    <x v="3"/>
    <x v="16"/>
    <x v="4"/>
    <s v="JavaScript"/>
    <n v="146"/>
    <n v="33.21"/>
    <n v="0.63"/>
    <n v="94"/>
    <n v="100"/>
    <b v="0"/>
    <n v="1"/>
    <s v="High"/>
    <n v="10"/>
    <n v="1"/>
    <n v="45"/>
    <b v="0"/>
    <n v="6.8493150684931496"/>
    <n v="308.21917808219098"/>
    <s v="Medium"/>
    <n v="0"/>
    <n v="10"/>
    <n v="4"/>
  </r>
  <r>
    <d v="2024-10-11T00:00:00"/>
    <x v="3"/>
    <x v="17"/>
    <x v="5"/>
    <s v="Python"/>
    <n v="243"/>
    <n v="23.37"/>
    <n v="0.31900000000000001"/>
    <n v="84"/>
    <n v="43.78"/>
    <b v="0"/>
    <n v="0"/>
    <s v="Unknown"/>
    <n v="8"/>
    <n v="12"/>
    <n v="121"/>
    <b v="0"/>
    <n v="0"/>
    <n v="497.94238683127497"/>
    <s v="Medium"/>
    <n v="1"/>
    <n v="10"/>
    <n v="4"/>
  </r>
  <r>
    <d v="2024-10-11T00:00:00"/>
    <x v="3"/>
    <x v="18"/>
    <x v="0"/>
    <s v="C#"/>
    <n v="725"/>
    <n v="32.61"/>
    <n v="0.39200000000000002"/>
    <n v="91"/>
    <n v="17.899999999999999"/>
    <b v="0"/>
    <n v="2"/>
    <s v="Medium"/>
    <n v="13"/>
    <n v="7"/>
    <n v="130"/>
    <b v="0"/>
    <n v="2.7586206896551699"/>
    <n v="179.31034482758599"/>
    <s v="Medium"/>
    <n v="1"/>
    <n v="10"/>
    <n v="4"/>
  </r>
  <r>
    <d v="2024-10-11T00:00:00"/>
    <x v="3"/>
    <x v="19"/>
    <x v="1"/>
    <s v="Java"/>
    <n v="193"/>
    <n v="27.37"/>
    <n v="0.115"/>
    <n v="29"/>
    <n v="85.8"/>
    <b v="0"/>
    <n v="0"/>
    <s v="Unknown"/>
    <n v="11"/>
    <n v="13"/>
    <n v="73"/>
    <b v="0"/>
    <n v="0"/>
    <n v="378.23834196891102"/>
    <s v="Medium"/>
    <n v="0"/>
    <n v="10"/>
    <n v="4"/>
  </r>
  <r>
    <d v="2024-10-11T00:00:00"/>
    <x v="3"/>
    <x v="20"/>
    <x v="2"/>
    <s v="Python"/>
    <n v="225"/>
    <n v="35"/>
    <n v="0.63"/>
    <n v="197"/>
    <n v="69.66"/>
    <b v="0"/>
    <n v="0"/>
    <s v="Unknown"/>
    <n v="13"/>
    <n v="7"/>
    <n v="311"/>
    <b v="0"/>
    <n v="0"/>
    <n v="1382.2222222222199"/>
    <s v="Medium"/>
    <n v="0"/>
    <n v="10"/>
    <n v="4"/>
  </r>
  <r>
    <d v="2024-10-11T00:00:00"/>
    <x v="3"/>
    <x v="21"/>
    <x v="3"/>
    <s v="C#"/>
    <n v="80"/>
    <n v="31.68"/>
    <n v="0.63700000000000001"/>
    <n v="103"/>
    <n v="50.04"/>
    <b v="0"/>
    <n v="1"/>
    <s v="Low"/>
    <n v="18"/>
    <n v="12"/>
    <n v="119"/>
    <b v="0"/>
    <n v="12.5"/>
    <n v="1487.5"/>
    <s v="Medium"/>
    <n v="1"/>
    <n v="10"/>
    <n v="4"/>
  </r>
  <r>
    <d v="2024-10-11T00:00:00"/>
    <x v="3"/>
    <x v="22"/>
    <x v="4"/>
    <s v="Java"/>
    <n v="331"/>
    <n v="10.32"/>
    <n v="0.81599999999999995"/>
    <n v="177"/>
    <n v="62.34"/>
    <b v="0"/>
    <n v="2"/>
    <s v="Medium"/>
    <n v="13"/>
    <n v="5"/>
    <n v="288"/>
    <b v="0"/>
    <n v="6.0422960725075496"/>
    <n v="870.09063444108699"/>
    <s v="Low"/>
    <n v="0"/>
    <n v="10"/>
    <n v="4"/>
  </r>
  <r>
    <d v="2024-10-11T00:00:00"/>
    <x v="3"/>
    <x v="23"/>
    <x v="5"/>
    <s v="TypeScript"/>
    <n v="168"/>
    <n v="25.87"/>
    <n v="7.1999999999999995E-2"/>
    <n v="55"/>
    <n v="70.959999999999994"/>
    <b v="0"/>
    <n v="0"/>
    <s v="Unknown"/>
    <n v="12"/>
    <n v="9"/>
    <n v="64"/>
    <b v="0"/>
    <n v="0"/>
    <n v="380.95238095238"/>
    <s v="Medium"/>
    <n v="0"/>
    <n v="10"/>
    <n v="4"/>
  </r>
  <r>
    <d v="2024-10-11T00:00:00"/>
    <x v="3"/>
    <x v="24"/>
    <x v="0"/>
    <s v="C#"/>
    <n v="292"/>
    <n v="18.920000000000002"/>
    <n v="0.05"/>
    <n v="19"/>
    <n v="54.27"/>
    <b v="0"/>
    <n v="0"/>
    <s v="Unknown"/>
    <n v="10"/>
    <n v="6"/>
    <n v="61"/>
    <b v="0"/>
    <n v="0"/>
    <n v="208.90410958904101"/>
    <s v="Low"/>
    <n v="1"/>
    <n v="10"/>
    <n v="4"/>
  </r>
  <r>
    <d v="2024-10-11T00:00:00"/>
    <x v="3"/>
    <x v="25"/>
    <x v="1"/>
    <s v="Java"/>
    <n v="521"/>
    <n v="26.78"/>
    <n v="0.25600000000000001"/>
    <n v="70"/>
    <n v="67.83"/>
    <b v="0"/>
    <n v="0"/>
    <s v="Unknown"/>
    <n v="11"/>
    <n v="5"/>
    <n v="144"/>
    <b v="0"/>
    <n v="0"/>
    <n v="276.391554702495"/>
    <s v="Medium"/>
    <n v="0"/>
    <n v="10"/>
    <n v="4"/>
  </r>
  <r>
    <d v="2024-10-11T00:00:00"/>
    <x v="3"/>
    <x v="26"/>
    <x v="2"/>
    <s v="TypeScript"/>
    <n v="80"/>
    <n v="48.32"/>
    <n v="7.8E-2"/>
    <n v="194"/>
    <n v="59.2"/>
    <b v="0"/>
    <n v="0"/>
    <s v="Unknown"/>
    <n v="13"/>
    <n v="4"/>
    <n v="298"/>
    <b v="0"/>
    <n v="0"/>
    <n v="3725"/>
    <s v="High"/>
    <n v="1"/>
    <n v="10"/>
    <n v="4"/>
  </r>
  <r>
    <d v="2024-10-11T00:00:00"/>
    <x v="3"/>
    <x v="27"/>
    <x v="3"/>
    <s v="JavaScript"/>
    <n v="166"/>
    <n v="11.12"/>
    <n v="0.67100000000000004"/>
    <n v="133"/>
    <n v="66.11"/>
    <b v="0"/>
    <n v="1"/>
    <s v="Critical"/>
    <n v="21"/>
    <n v="7"/>
    <n v="204"/>
    <b v="0"/>
    <n v="6.0240963855421601"/>
    <n v="1228.9156626506001"/>
    <s v="Low"/>
    <n v="0"/>
    <n v="10"/>
    <n v="4"/>
  </r>
  <r>
    <d v="2024-10-11T00:00:00"/>
    <x v="3"/>
    <x v="28"/>
    <x v="4"/>
    <s v="Java"/>
    <n v="391"/>
    <n v="21.72"/>
    <n v="0.34599999999999997"/>
    <n v="103"/>
    <n v="78.97"/>
    <b v="0"/>
    <n v="1"/>
    <s v="Low"/>
    <n v="12"/>
    <n v="10"/>
    <n v="147"/>
    <b v="0"/>
    <n v="2.5575447570332401"/>
    <n v="375.95907928388698"/>
    <s v="Medium"/>
    <n v="0"/>
    <n v="10"/>
    <n v="4"/>
  </r>
  <r>
    <d v="2024-10-11T00:00:00"/>
    <x v="3"/>
    <x v="29"/>
    <x v="5"/>
    <s v="TypeScript"/>
    <n v="432"/>
    <n v="44.09"/>
    <n v="0.66400000000000003"/>
    <n v="78"/>
    <n v="89.63"/>
    <b v="0"/>
    <n v="0"/>
    <s v="Unknown"/>
    <n v="13"/>
    <n v="10"/>
    <n v="63"/>
    <b v="0"/>
    <n v="0"/>
    <n v="145.833333333333"/>
    <s v="High"/>
    <n v="0"/>
    <n v="10"/>
    <n v="4"/>
  </r>
  <r>
    <d v="2024-10-11T00:00:00"/>
    <x v="3"/>
    <x v="30"/>
    <x v="0"/>
    <s v="JavaScript"/>
    <n v="246"/>
    <n v="32.49"/>
    <n v="0.90300000000000002"/>
    <n v="107"/>
    <n v="88.44"/>
    <b v="0"/>
    <n v="1"/>
    <s v="Medium"/>
    <n v="14"/>
    <n v="8"/>
    <n v="117"/>
    <b v="0"/>
    <n v="4.0650406504065"/>
    <n v="475.60975609756099"/>
    <s v="Medium"/>
    <n v="0"/>
    <n v="10"/>
    <n v="4"/>
  </r>
  <r>
    <d v="2024-10-11T00:00:00"/>
    <x v="3"/>
    <x v="31"/>
    <x v="1"/>
    <s v="Python"/>
    <n v="116"/>
    <n v="52.06"/>
    <n v="0.80500000000000005"/>
    <n v="79"/>
    <n v="57.12"/>
    <b v="0"/>
    <n v="2"/>
    <s v="Medium"/>
    <n v="12"/>
    <n v="10"/>
    <n v="123"/>
    <b v="0"/>
    <n v="17.241379310344801"/>
    <n v="1060.3448275861999"/>
    <s v="High"/>
    <n v="1"/>
    <n v="10"/>
    <n v="4"/>
  </r>
  <r>
    <d v="2024-10-11T00:00:00"/>
    <x v="3"/>
    <x v="32"/>
    <x v="2"/>
    <s v="TypeScript"/>
    <n v="128"/>
    <n v="32.97"/>
    <n v="0.22900000000000001"/>
    <n v="115"/>
    <n v="83.84"/>
    <b v="0"/>
    <n v="1"/>
    <s v="Medium"/>
    <n v="9"/>
    <n v="4"/>
    <n v="188"/>
    <b v="0"/>
    <n v="7.8125"/>
    <n v="1468.75"/>
    <s v="Medium"/>
    <n v="0"/>
    <n v="10"/>
    <n v="4"/>
  </r>
  <r>
    <d v="2024-10-11T00:00:00"/>
    <x v="3"/>
    <x v="33"/>
    <x v="3"/>
    <s v="JavaScript"/>
    <n v="132"/>
    <n v="3.09"/>
    <n v="0.76800000000000002"/>
    <n v="90"/>
    <n v="45.04"/>
    <b v="0"/>
    <n v="1"/>
    <s v="Medium"/>
    <n v="13"/>
    <n v="6"/>
    <n v="99"/>
    <b v="0"/>
    <n v="7.5757575757575699"/>
    <n v="750"/>
    <s v="Low"/>
    <n v="1"/>
    <n v="10"/>
    <n v="4"/>
  </r>
  <r>
    <d v="2024-10-11T00:00:00"/>
    <x v="3"/>
    <x v="34"/>
    <x v="4"/>
    <s v="Python"/>
    <n v="225"/>
    <n v="31.58"/>
    <n v="0.68700000000000006"/>
    <n v="32"/>
    <n v="64.63"/>
    <b v="0"/>
    <n v="0"/>
    <s v="Unknown"/>
    <n v="8"/>
    <n v="4"/>
    <n v="1"/>
    <b v="0"/>
    <n v="0"/>
    <n v="4.4444444444444402"/>
    <s v="Medium"/>
    <n v="0"/>
    <n v="10"/>
    <n v="4"/>
  </r>
  <r>
    <d v="2024-10-11T00:00:00"/>
    <x v="3"/>
    <x v="35"/>
    <x v="5"/>
    <s v="C#"/>
    <n v="262"/>
    <n v="35.79"/>
    <n v="0.65100000000000002"/>
    <n v="172"/>
    <n v="52.57"/>
    <b v="0"/>
    <n v="3"/>
    <s v="Low"/>
    <n v="14"/>
    <n v="4"/>
    <n v="257"/>
    <b v="0"/>
    <n v="11.450381679389301"/>
    <n v="980.91603053435097"/>
    <s v="Medium"/>
    <n v="1"/>
    <n v="10"/>
    <n v="4"/>
  </r>
  <r>
    <d v="2024-10-11T00:00:00"/>
    <x v="3"/>
    <x v="36"/>
    <x v="0"/>
    <s v="JavaScript"/>
    <n v="220"/>
    <n v="37.56"/>
    <n v="0.14499999999999999"/>
    <n v="62"/>
    <n v="56.1"/>
    <b v="0"/>
    <n v="0"/>
    <s v="Unknown"/>
    <n v="4"/>
    <n v="1"/>
    <n v="110"/>
    <b v="0"/>
    <n v="0"/>
    <n v="500"/>
    <s v="Medium"/>
    <n v="1"/>
    <n v="10"/>
    <n v="4"/>
  </r>
  <r>
    <d v="2024-10-11T00:00:00"/>
    <x v="3"/>
    <x v="37"/>
    <x v="1"/>
    <s v="Python"/>
    <n v="217"/>
    <n v="16.73"/>
    <n v="0.05"/>
    <n v="32"/>
    <n v="34.39"/>
    <b v="0"/>
    <n v="0"/>
    <s v="Unknown"/>
    <n v="15"/>
    <n v="7"/>
    <n v="53"/>
    <b v="0"/>
    <n v="0"/>
    <n v="244.23963133640501"/>
    <s v="Low"/>
    <n v="1"/>
    <n v="10"/>
    <n v="4"/>
  </r>
  <r>
    <d v="2024-10-11T00:00:00"/>
    <x v="3"/>
    <x v="38"/>
    <x v="2"/>
    <s v="C#"/>
    <n v="243"/>
    <n v="36.08"/>
    <n v="0.45200000000000001"/>
    <n v="124"/>
    <n v="68.430000000000007"/>
    <b v="0"/>
    <n v="1"/>
    <s v="Medium"/>
    <n v="14"/>
    <n v="10"/>
    <n v="199"/>
    <b v="0"/>
    <n v="4.1152263374485596"/>
    <n v="818.93004115226302"/>
    <s v="Medium"/>
    <n v="0"/>
    <n v="10"/>
    <n v="4"/>
  </r>
  <r>
    <d v="2024-10-11T00:00:00"/>
    <x v="3"/>
    <x v="39"/>
    <x v="3"/>
    <s v="Java"/>
    <n v="129"/>
    <n v="27.27"/>
    <n v="0.46800000000000003"/>
    <n v="23"/>
    <n v="92.34"/>
    <b v="0"/>
    <n v="0"/>
    <s v="Unknown"/>
    <n v="12"/>
    <n v="1"/>
    <n v="59"/>
    <b v="0"/>
    <n v="0"/>
    <n v="457.36434108527101"/>
    <s v="Medium"/>
    <n v="0"/>
    <n v="10"/>
    <n v="4"/>
  </r>
  <r>
    <d v="2024-10-11T00:00:00"/>
    <x v="3"/>
    <x v="40"/>
    <x v="4"/>
    <s v="Python"/>
    <n v="203"/>
    <n v="28.37"/>
    <n v="0.71399999999999997"/>
    <n v="175"/>
    <n v="84.57"/>
    <b v="0"/>
    <n v="1"/>
    <s v="Medium"/>
    <n v="12"/>
    <n v="1"/>
    <n v="225"/>
    <b v="0"/>
    <n v="4.9261083743842304"/>
    <n v="1108.3743842364499"/>
    <s v="Medium"/>
    <n v="0"/>
    <n v="10"/>
    <n v="4"/>
  </r>
  <r>
    <d v="2024-10-11T00:00:00"/>
    <x v="3"/>
    <x v="41"/>
    <x v="5"/>
    <s v="C#"/>
    <n v="80"/>
    <n v="50.72"/>
    <n v="0.81799999999999995"/>
    <n v="56"/>
    <n v="74.48"/>
    <b v="0"/>
    <n v="0"/>
    <s v="Unknown"/>
    <n v="10"/>
    <n v="1"/>
    <n v="35"/>
    <b v="0"/>
    <n v="0"/>
    <n v="437.5"/>
    <s v="High"/>
    <n v="0"/>
    <n v="10"/>
    <n v="4"/>
  </r>
  <r>
    <d v="2024-10-11T00:00:00"/>
    <x v="3"/>
    <x v="42"/>
    <x v="0"/>
    <s v="Java"/>
    <n v="125"/>
    <n v="24.47"/>
    <n v="0.39100000000000001"/>
    <n v="154"/>
    <n v="100"/>
    <b v="0"/>
    <n v="1"/>
    <s v="Medium"/>
    <n v="18"/>
    <n v="7"/>
    <n v="256"/>
    <b v="0"/>
    <n v="8"/>
    <n v="2048"/>
    <s v="Medium"/>
    <n v="0"/>
    <n v="10"/>
    <n v="4"/>
  </r>
  <r>
    <d v="2024-10-11T00:00:00"/>
    <x v="3"/>
    <x v="43"/>
    <x v="1"/>
    <s v="TypeScript"/>
    <n v="304"/>
    <n v="49.51"/>
    <n v="0.34599999999999997"/>
    <n v="168"/>
    <n v="75.31"/>
    <b v="0"/>
    <n v="1"/>
    <s v="Medium"/>
    <n v="12"/>
    <n v="6"/>
    <n v="250"/>
    <b v="0"/>
    <n v="3.2894736842105199"/>
    <n v="822.36842105263099"/>
    <s v="High"/>
    <n v="0"/>
    <n v="10"/>
    <n v="4"/>
  </r>
  <r>
    <d v="2024-10-11T00:00:00"/>
    <x v="3"/>
    <x v="44"/>
    <x v="2"/>
    <s v="C#"/>
    <n v="261"/>
    <n v="20.260000000000002"/>
    <n v="0.47"/>
    <n v="125"/>
    <n v="63.07"/>
    <b v="0"/>
    <n v="1"/>
    <s v="Medium"/>
    <n v="8"/>
    <n v="2"/>
    <n v="224"/>
    <b v="0"/>
    <n v="3.83141762452107"/>
    <n v="858.23754789272004"/>
    <s v="Medium"/>
    <n v="0"/>
    <n v="10"/>
    <n v="4"/>
  </r>
  <r>
    <d v="2024-10-11T00:00:00"/>
    <x v="3"/>
    <x v="45"/>
    <x v="3"/>
    <s v="Java"/>
    <n v="405"/>
    <n v="10.97"/>
    <n v="0.73499999999999999"/>
    <n v="184"/>
    <n v="58.13"/>
    <b v="0"/>
    <n v="2"/>
    <s v="Medium"/>
    <n v="12"/>
    <n v="6"/>
    <n v="270"/>
    <b v="0"/>
    <n v="4.9382716049382704"/>
    <n v="666.66666666666595"/>
    <s v="Low"/>
    <n v="1"/>
    <n v="10"/>
    <n v="4"/>
  </r>
  <r>
    <d v="2024-10-11T00:00:00"/>
    <x v="3"/>
    <x v="46"/>
    <x v="4"/>
    <s v="TypeScript"/>
    <n v="83"/>
    <n v="40.770000000000003"/>
    <n v="0.26100000000000001"/>
    <n v="181"/>
    <n v="56.63"/>
    <b v="0"/>
    <n v="1"/>
    <s v="Low"/>
    <n v="10"/>
    <n v="8"/>
    <n v="306"/>
    <b v="0"/>
    <n v="12.048192771084301"/>
    <n v="3686.7469879517998"/>
    <s v="High"/>
    <n v="1"/>
    <n v="10"/>
    <n v="4"/>
  </r>
  <r>
    <d v="2024-10-11T00:00:00"/>
    <x v="3"/>
    <x v="47"/>
    <x v="5"/>
    <s v="JavaScript"/>
    <n v="306"/>
    <n v="36.44"/>
    <n v="0.57499999999999996"/>
    <n v="133"/>
    <n v="37.15"/>
    <b v="0"/>
    <n v="1"/>
    <s v="Low"/>
    <n v="19"/>
    <n v="4"/>
    <n v="218"/>
    <b v="0"/>
    <n v="3.2679738562091498"/>
    <n v="712.41830065359397"/>
    <s v="Medium"/>
    <n v="1"/>
    <n v="10"/>
    <n v="4"/>
  </r>
  <r>
    <d v="2024-10-11T00:00:00"/>
    <x v="3"/>
    <x v="48"/>
    <x v="0"/>
    <s v="Java"/>
    <n v="112"/>
    <n v="13.28"/>
    <n v="0.77100000000000002"/>
    <n v="221"/>
    <n v="48.79"/>
    <b v="0"/>
    <n v="1"/>
    <s v="High"/>
    <n v="20"/>
    <n v="1"/>
    <n v="293"/>
    <b v="0"/>
    <n v="8.9285714285714199"/>
    <n v="2616.0714285714198"/>
    <s v="Low"/>
    <n v="1"/>
    <n v="10"/>
    <n v="4"/>
  </r>
  <r>
    <d v="2024-10-11T00:00:00"/>
    <x v="3"/>
    <x v="49"/>
    <x v="1"/>
    <s v="TypeScript"/>
    <n v="291"/>
    <n v="39.090000000000003"/>
    <n v="0.27700000000000002"/>
    <n v="192"/>
    <n v="30.69"/>
    <b v="0"/>
    <n v="4"/>
    <s v="Medium"/>
    <n v="16"/>
    <n v="8"/>
    <n v="279"/>
    <b v="0"/>
    <n v="13.7457044673539"/>
    <n v="958.76288659793795"/>
    <s v="Medium"/>
    <n v="1"/>
    <n v="10"/>
    <n v="4"/>
  </r>
  <r>
    <d v="2024-10-11T00:00:00"/>
    <x v="3"/>
    <x v="50"/>
    <x v="2"/>
    <s v="JavaScript"/>
    <n v="80"/>
    <n v="19.899999999999999"/>
    <n v="0.34499999999999997"/>
    <n v="202"/>
    <n v="48.73"/>
    <b v="0"/>
    <n v="1"/>
    <s v="Low"/>
    <n v="16"/>
    <n v="9"/>
    <n v="293"/>
    <b v="0"/>
    <n v="12.5"/>
    <n v="3662.5"/>
    <s v="Low"/>
    <n v="1"/>
    <n v="10"/>
    <n v="4"/>
  </r>
  <r>
    <d v="2024-10-11T00:00:00"/>
    <x v="3"/>
    <x v="51"/>
    <x v="3"/>
    <s v="Python"/>
    <n v="131"/>
    <n v="44.42"/>
    <n v="0.52500000000000002"/>
    <n v="161"/>
    <n v="69.37"/>
    <b v="0"/>
    <n v="2"/>
    <s v="Medium"/>
    <n v="18"/>
    <n v="2"/>
    <n v="148"/>
    <b v="0"/>
    <n v="15.267175572518999"/>
    <n v="1129.7709923664099"/>
    <s v="High"/>
    <n v="0"/>
    <n v="10"/>
    <n v="4"/>
  </r>
  <r>
    <d v="2024-10-11T00:00:00"/>
    <x v="3"/>
    <x v="52"/>
    <x v="4"/>
    <s v="TypeScript"/>
    <n v="163"/>
    <n v="9.86"/>
    <n v="0.78300000000000003"/>
    <n v="147"/>
    <n v="81.37"/>
    <b v="0"/>
    <n v="2"/>
    <s v="Medium"/>
    <n v="8"/>
    <n v="6"/>
    <n v="205"/>
    <b v="0"/>
    <n v="12.269938650306701"/>
    <n v="1257.6687116564401"/>
    <s v="Low"/>
    <n v="0"/>
    <n v="10"/>
    <n v="4"/>
  </r>
  <r>
    <d v="2024-10-11T00:00:00"/>
    <x v="3"/>
    <x v="53"/>
    <x v="5"/>
    <s v="JavaScript"/>
    <n v="80"/>
    <n v="25.33"/>
    <n v="0.86499999999999999"/>
    <n v="94"/>
    <n v="55.88"/>
    <b v="0"/>
    <n v="3"/>
    <s v="Low"/>
    <n v="8"/>
    <n v="10"/>
    <n v="135"/>
    <b v="0"/>
    <n v="37.5"/>
    <n v="1687.5"/>
    <s v="Medium"/>
    <n v="1"/>
    <n v="10"/>
    <n v="4"/>
  </r>
  <r>
    <d v="2024-10-11T00:00:00"/>
    <x v="3"/>
    <x v="54"/>
    <x v="0"/>
    <s v="Python"/>
    <n v="112"/>
    <n v="20.12"/>
    <n v="0.84599999999999997"/>
    <n v="59"/>
    <n v="79.819999999999993"/>
    <b v="0"/>
    <n v="1"/>
    <s v="Medium"/>
    <n v="8"/>
    <n v="10"/>
    <n v="57"/>
    <b v="0"/>
    <n v="8.9285714285714199"/>
    <n v="508.92857142857099"/>
    <s v="Medium"/>
    <n v="0"/>
    <n v="10"/>
    <n v="4"/>
  </r>
  <r>
    <d v="2024-10-11T00:00:00"/>
    <x v="3"/>
    <x v="55"/>
    <x v="1"/>
    <s v="C#"/>
    <n v="582"/>
    <n v="11.99"/>
    <n v="6.5000000000000002E-2"/>
    <n v="231"/>
    <n v="97.33"/>
    <b v="0"/>
    <n v="0"/>
    <s v="Unknown"/>
    <n v="19"/>
    <n v="6"/>
    <n v="274"/>
    <b v="0"/>
    <n v="0"/>
    <n v="470.790378006872"/>
    <s v="Low"/>
    <n v="0"/>
    <n v="10"/>
    <n v="4"/>
  </r>
  <r>
    <d v="2024-10-11T00:00:00"/>
    <x v="3"/>
    <x v="56"/>
    <x v="2"/>
    <s v="JavaScript"/>
    <n v="351"/>
    <n v="34.770000000000003"/>
    <n v="0.49399999999999999"/>
    <n v="108"/>
    <n v="86.96"/>
    <b v="0"/>
    <n v="2"/>
    <s v="High"/>
    <n v="11"/>
    <n v="3"/>
    <n v="155"/>
    <b v="0"/>
    <n v="5.6980056980056899"/>
    <n v="441.595441595441"/>
    <s v="Medium"/>
    <n v="0"/>
    <n v="10"/>
    <n v="4"/>
  </r>
  <r>
    <d v="2024-10-11T00:00:00"/>
    <x v="3"/>
    <x v="57"/>
    <x v="3"/>
    <s v="Python"/>
    <n v="244"/>
    <n v="48.02"/>
    <n v="0.9"/>
    <n v="88"/>
    <n v="63.18"/>
    <b v="0"/>
    <n v="1"/>
    <s v="Low"/>
    <n v="5"/>
    <n v="7"/>
    <n v="132"/>
    <b v="0"/>
    <n v="4.0983606557377001"/>
    <n v="540.98360655737702"/>
    <s v="High"/>
    <n v="0"/>
    <n v="10"/>
    <n v="4"/>
  </r>
  <r>
    <d v="2024-10-11T00:00:00"/>
    <x v="3"/>
    <x v="58"/>
    <x v="4"/>
    <s v="C#"/>
    <n v="159"/>
    <n v="51.63"/>
    <n v="0.315"/>
    <n v="91"/>
    <n v="49.89"/>
    <b v="0"/>
    <n v="2"/>
    <s v="Low"/>
    <n v="17"/>
    <n v="2"/>
    <n v="201"/>
    <b v="0"/>
    <n v="12.5786163522012"/>
    <n v="1264.1509433962201"/>
    <s v="High"/>
    <n v="1"/>
    <n v="10"/>
    <n v="4"/>
  </r>
  <r>
    <d v="2024-10-11T00:00:00"/>
    <x v="3"/>
    <x v="59"/>
    <x v="5"/>
    <s v="Java"/>
    <n v="152"/>
    <n v="39.04"/>
    <n v="0.16600000000000001"/>
    <n v="187"/>
    <n v="93.3"/>
    <b v="0"/>
    <n v="0"/>
    <s v="Unknown"/>
    <n v="19"/>
    <n v="10"/>
    <n v="322"/>
    <b v="0"/>
    <n v="0"/>
    <n v="2118.4210526315701"/>
    <s v="Medium"/>
    <n v="0"/>
    <n v="10"/>
    <n v="4"/>
  </r>
  <r>
    <d v="2025-01-09T00:00:00"/>
    <x v="4"/>
    <x v="0"/>
    <x v="0"/>
    <s v="Python"/>
    <n v="103"/>
    <n v="29.17"/>
    <n v="0.80900000000000005"/>
    <n v="61"/>
    <n v="71.05"/>
    <b v="0"/>
    <n v="0"/>
    <s v="Unknown"/>
    <n v="14"/>
    <n v="6"/>
    <n v="108"/>
    <b v="0"/>
    <n v="0"/>
    <n v="1048.5436893203801"/>
    <s v="Medium"/>
    <n v="0"/>
    <n v="1"/>
    <n v="1"/>
  </r>
  <r>
    <d v="2025-01-09T00:00:00"/>
    <x v="4"/>
    <x v="1"/>
    <x v="1"/>
    <s v="C#"/>
    <n v="215"/>
    <n v="44.8"/>
    <n v="0.63200000000000001"/>
    <n v="76"/>
    <n v="41.54"/>
    <b v="0"/>
    <n v="3"/>
    <s v="Low"/>
    <n v="13"/>
    <n v="8"/>
    <n v="139"/>
    <b v="0"/>
    <n v="13.953488372093"/>
    <n v="646.51162790697595"/>
    <s v="High"/>
    <n v="1"/>
    <n v="1"/>
    <n v="1"/>
  </r>
  <r>
    <d v="2025-01-09T00:00:00"/>
    <x v="4"/>
    <x v="2"/>
    <x v="2"/>
    <s v="Java"/>
    <n v="176"/>
    <n v="34.18"/>
    <n v="0.61399999999999999"/>
    <n v="0"/>
    <n v="64.37"/>
    <b v="0"/>
    <n v="1"/>
    <s v="Low"/>
    <n v="6"/>
    <n v="5"/>
    <n v="1"/>
    <b v="0"/>
    <n v="5.6818181818181799"/>
    <n v="5.6818181818181799"/>
    <s v="Medium"/>
    <n v="0"/>
    <n v="1"/>
    <n v="1"/>
  </r>
  <r>
    <d v="2025-01-09T00:00:00"/>
    <x v="4"/>
    <x v="3"/>
    <x v="3"/>
    <s v="TypeScript"/>
    <n v="150"/>
    <n v="47.81"/>
    <n v="9.8000000000000004E-2"/>
    <n v="111"/>
    <n v="69.86"/>
    <b v="0"/>
    <n v="4"/>
    <s v="Low"/>
    <n v="9"/>
    <n v="3"/>
    <n v="131"/>
    <b v="0"/>
    <n v="26.6666666666666"/>
    <n v="873.33333333333303"/>
    <s v="High"/>
    <n v="0"/>
    <n v="1"/>
    <n v="1"/>
  </r>
  <r>
    <d v="2025-01-09T00:00:00"/>
    <x v="4"/>
    <x v="4"/>
    <x v="4"/>
    <s v="C#"/>
    <n v="235"/>
    <n v="42.58"/>
    <n v="0.73299999999999998"/>
    <n v="161"/>
    <n v="78.459999999999994"/>
    <b v="0"/>
    <n v="0"/>
    <s v="Unknown"/>
    <n v="14"/>
    <n v="4"/>
    <n v="235"/>
    <b v="0"/>
    <n v="0"/>
    <n v="1000"/>
    <s v="High"/>
    <n v="0"/>
    <n v="1"/>
    <n v="1"/>
  </r>
  <r>
    <d v="2025-01-09T00:00:00"/>
    <x v="4"/>
    <x v="5"/>
    <x v="5"/>
    <s v="Java"/>
    <n v="333"/>
    <n v="32.130000000000003"/>
    <n v="0.38"/>
    <n v="56"/>
    <n v="50.04"/>
    <b v="0"/>
    <n v="0"/>
    <s v="Unknown"/>
    <n v="5"/>
    <n v="8"/>
    <n v="83"/>
    <b v="0"/>
    <n v="0"/>
    <n v="249.249249249249"/>
    <s v="Medium"/>
    <n v="1"/>
    <n v="1"/>
    <n v="1"/>
  </r>
  <r>
    <d v="2025-01-09T00:00:00"/>
    <x v="4"/>
    <x v="6"/>
    <x v="0"/>
    <s v="TypeScript"/>
    <n v="199"/>
    <n v="19.7"/>
    <n v="0.23100000000000001"/>
    <n v="198"/>
    <n v="40.99"/>
    <b v="0"/>
    <n v="2"/>
    <s v="High"/>
    <n v="13"/>
    <n v="6"/>
    <n v="321"/>
    <b v="0"/>
    <n v="10.050251256281401"/>
    <n v="1613.0653266331601"/>
    <s v="Low"/>
    <n v="1"/>
    <n v="1"/>
    <n v="1"/>
  </r>
  <r>
    <d v="2025-01-09T00:00:00"/>
    <x v="4"/>
    <x v="7"/>
    <x v="1"/>
    <s v="JavaScript"/>
    <n v="104"/>
    <n v="21.04"/>
    <n v="0.45800000000000002"/>
    <n v="35"/>
    <n v="46.5"/>
    <b v="0"/>
    <n v="0"/>
    <s v="Unknown"/>
    <n v="11"/>
    <n v="13"/>
    <n v="4"/>
    <b v="0"/>
    <n v="0"/>
    <n v="38.461538461538403"/>
    <s v="Medium"/>
    <n v="1"/>
    <n v="1"/>
    <n v="1"/>
  </r>
  <r>
    <d v="2025-01-09T00:00:00"/>
    <x v="4"/>
    <x v="8"/>
    <x v="2"/>
    <s v="Java"/>
    <n v="250"/>
    <n v="17.32"/>
    <n v="0.70299999999999996"/>
    <n v="121"/>
    <n v="54.2"/>
    <b v="0"/>
    <n v="1"/>
    <s v="Low"/>
    <n v="12"/>
    <n v="7"/>
    <n v="152"/>
    <b v="0"/>
    <n v="4"/>
    <n v="608"/>
    <s v="Low"/>
    <n v="1"/>
    <n v="1"/>
    <n v="1"/>
  </r>
  <r>
    <d v="2025-01-09T00:00:00"/>
    <x v="4"/>
    <x v="9"/>
    <x v="3"/>
    <s v="TypeScript"/>
    <n v="155"/>
    <n v="38.17"/>
    <n v="0.32400000000000001"/>
    <n v="203"/>
    <n v="81.180000000000007"/>
    <b v="0"/>
    <n v="1"/>
    <s v="Low"/>
    <n v="20"/>
    <n v="12"/>
    <n v="373"/>
    <b v="0"/>
    <n v="6.4516129032257998"/>
    <n v="2406.4516129032199"/>
    <s v="Medium"/>
    <n v="0"/>
    <n v="1"/>
    <n v="1"/>
  </r>
  <r>
    <d v="2025-01-09T00:00:00"/>
    <x v="4"/>
    <x v="10"/>
    <x v="4"/>
    <s v="JavaScript"/>
    <n v="346"/>
    <n v="37.31"/>
    <n v="0.41299999999999998"/>
    <n v="22"/>
    <n v="77.81"/>
    <b v="0"/>
    <n v="0"/>
    <s v="Unknown"/>
    <n v="10"/>
    <n v="8"/>
    <n v="42"/>
    <b v="0"/>
    <n v="0"/>
    <n v="121.38728323699399"/>
    <s v="Medium"/>
    <n v="0"/>
    <n v="1"/>
    <n v="1"/>
  </r>
  <r>
    <d v="2025-01-09T00:00:00"/>
    <x v="4"/>
    <x v="11"/>
    <x v="5"/>
    <s v="Python"/>
    <n v="166"/>
    <n v="34.67"/>
    <n v="0.23599999999999999"/>
    <n v="122"/>
    <n v="74.3"/>
    <b v="0"/>
    <n v="1"/>
    <s v="Medium"/>
    <n v="9"/>
    <n v="5"/>
    <n v="253"/>
    <b v="0"/>
    <n v="6.0240963855421601"/>
    <n v="1524.0963855421601"/>
    <s v="Medium"/>
    <n v="0"/>
    <n v="1"/>
    <n v="1"/>
  </r>
  <r>
    <d v="2025-01-09T00:00:00"/>
    <x v="4"/>
    <x v="12"/>
    <x v="0"/>
    <s v="TypeScript"/>
    <n v="295"/>
    <n v="22.96"/>
    <n v="0.72099999999999997"/>
    <n v="114"/>
    <n v="55.53"/>
    <b v="0"/>
    <n v="1"/>
    <s v="Low"/>
    <n v="13"/>
    <n v="4"/>
    <n v="167"/>
    <b v="0"/>
    <n v="3.3898305084745699"/>
    <n v="566.10169491525403"/>
    <s v="Medium"/>
    <n v="1"/>
    <n v="1"/>
    <n v="1"/>
  </r>
  <r>
    <d v="2025-01-09T00:00:00"/>
    <x v="4"/>
    <x v="13"/>
    <x v="1"/>
    <s v="JavaScript"/>
    <n v="105"/>
    <n v="26.82"/>
    <n v="0.78400000000000003"/>
    <n v="168"/>
    <n v="59.92"/>
    <b v="0"/>
    <n v="0"/>
    <s v="Unknown"/>
    <n v="21"/>
    <n v="8"/>
    <n v="250"/>
    <b v="0"/>
    <n v="0"/>
    <n v="2380.9523809523798"/>
    <s v="Medium"/>
    <n v="1"/>
    <n v="1"/>
    <n v="1"/>
  </r>
  <r>
    <d v="2025-01-09T00:00:00"/>
    <x v="4"/>
    <x v="14"/>
    <x v="2"/>
    <s v="Python"/>
    <n v="513"/>
    <n v="4.8099999999999996"/>
    <n v="0.27900000000000003"/>
    <n v="29"/>
    <n v="61.03"/>
    <b v="0"/>
    <n v="1"/>
    <s v="Medium"/>
    <n v="7"/>
    <n v="6"/>
    <n v="126"/>
    <b v="0"/>
    <n v="1.94931773879142"/>
    <n v="245.614035087719"/>
    <s v="Low"/>
    <n v="0"/>
    <n v="1"/>
    <n v="1"/>
  </r>
  <r>
    <d v="2025-01-09T00:00:00"/>
    <x v="4"/>
    <x v="15"/>
    <x v="3"/>
    <s v="C#"/>
    <n v="128"/>
    <n v="27.82"/>
    <n v="0.68500000000000005"/>
    <n v="37"/>
    <n v="91.36"/>
    <b v="0"/>
    <n v="0"/>
    <s v="Unknown"/>
    <n v="5"/>
    <n v="3"/>
    <n v="30"/>
    <b v="0"/>
    <n v="0"/>
    <n v="234.375"/>
    <s v="Medium"/>
    <n v="0"/>
    <n v="1"/>
    <n v="1"/>
  </r>
  <r>
    <d v="2025-01-09T00:00:00"/>
    <x v="4"/>
    <x v="16"/>
    <x v="4"/>
    <s v="JavaScript"/>
    <n v="146"/>
    <n v="36.24"/>
    <n v="0.70199999999999996"/>
    <n v="117"/>
    <n v="96.45"/>
    <b v="0"/>
    <n v="0"/>
    <s v="Unknown"/>
    <n v="17"/>
    <n v="1"/>
    <n v="170"/>
    <b v="0"/>
    <n v="0"/>
    <n v="1164.38356164383"/>
    <s v="Medium"/>
    <n v="0"/>
    <n v="1"/>
    <n v="1"/>
  </r>
  <r>
    <d v="2025-01-09T00:00:00"/>
    <x v="4"/>
    <x v="17"/>
    <x v="5"/>
    <s v="Python"/>
    <n v="243"/>
    <n v="12.05"/>
    <n v="0.159"/>
    <n v="122"/>
    <n v="34.590000000000003"/>
    <b v="0"/>
    <n v="0"/>
    <s v="Unknown"/>
    <n v="11"/>
    <n v="13"/>
    <n v="179"/>
    <b v="0"/>
    <n v="0"/>
    <n v="736.62551440329196"/>
    <s v="Low"/>
    <n v="1"/>
    <n v="1"/>
    <n v="1"/>
  </r>
  <r>
    <d v="2025-01-09T00:00:00"/>
    <x v="4"/>
    <x v="18"/>
    <x v="0"/>
    <s v="C#"/>
    <n v="725"/>
    <n v="34.299999999999997"/>
    <n v="0.27700000000000002"/>
    <n v="97"/>
    <n v="47.68"/>
    <b v="0"/>
    <n v="0"/>
    <s v="Unknown"/>
    <n v="11"/>
    <n v="8"/>
    <n v="140"/>
    <b v="0"/>
    <n v="0"/>
    <n v="193.10344827586201"/>
    <s v="Medium"/>
    <n v="1"/>
    <n v="1"/>
    <n v="1"/>
  </r>
  <r>
    <d v="2025-01-09T00:00:00"/>
    <x v="4"/>
    <x v="19"/>
    <x v="1"/>
    <s v="Java"/>
    <n v="193"/>
    <n v="38.85"/>
    <n v="0.13500000000000001"/>
    <n v="12"/>
    <n v="80.77"/>
    <b v="0"/>
    <n v="0"/>
    <s v="Unknown"/>
    <n v="12"/>
    <n v="7"/>
    <n v="19"/>
    <b v="0"/>
    <n v="0"/>
    <n v="98.445595854922203"/>
    <s v="Medium"/>
    <n v="0"/>
    <n v="1"/>
    <n v="1"/>
  </r>
  <r>
    <d v="2025-01-09T00:00:00"/>
    <x v="4"/>
    <x v="20"/>
    <x v="2"/>
    <s v="Python"/>
    <n v="225"/>
    <n v="29.86"/>
    <n v="0.65500000000000003"/>
    <n v="158"/>
    <n v="68.37"/>
    <b v="0"/>
    <n v="2"/>
    <s v="Medium"/>
    <n v="8"/>
    <n v="6"/>
    <n v="257"/>
    <b v="0"/>
    <n v="8.8888888888888893"/>
    <n v="1142.2222222222199"/>
    <s v="Medium"/>
    <n v="0"/>
    <n v="1"/>
    <n v="1"/>
  </r>
  <r>
    <d v="2025-01-09T00:00:00"/>
    <x v="4"/>
    <x v="21"/>
    <x v="3"/>
    <s v="C#"/>
    <n v="80"/>
    <n v="38.79"/>
    <n v="0.60899999999999999"/>
    <n v="60"/>
    <n v="42.64"/>
    <b v="0"/>
    <n v="0"/>
    <s v="Unknown"/>
    <n v="8"/>
    <n v="10"/>
    <n v="102"/>
    <b v="0"/>
    <n v="0"/>
    <n v="1275"/>
    <s v="Medium"/>
    <n v="1"/>
    <n v="1"/>
    <n v="1"/>
  </r>
  <r>
    <d v="2025-01-09T00:00:00"/>
    <x v="4"/>
    <x v="22"/>
    <x v="4"/>
    <s v="Java"/>
    <n v="331"/>
    <n v="13.33"/>
    <n v="0.84499999999999997"/>
    <n v="124"/>
    <n v="54.69"/>
    <b v="0"/>
    <n v="1"/>
    <s v="Medium"/>
    <n v="17"/>
    <n v="7"/>
    <n v="167"/>
    <b v="0"/>
    <n v="3.0211480362537699"/>
    <n v="504.53172205438"/>
    <s v="Low"/>
    <n v="1"/>
    <n v="1"/>
    <n v="1"/>
  </r>
  <r>
    <d v="2025-01-09T00:00:00"/>
    <x v="4"/>
    <x v="23"/>
    <x v="5"/>
    <s v="TypeScript"/>
    <n v="168"/>
    <n v="37.74"/>
    <n v="0.06"/>
    <n v="0"/>
    <n v="72.39"/>
    <b v="0"/>
    <n v="0"/>
    <s v="Unknown"/>
    <n v="9"/>
    <n v="12"/>
    <n v="1"/>
    <b v="0"/>
    <n v="0"/>
    <n v="5.9523809523809499"/>
    <s v="Medium"/>
    <n v="0"/>
    <n v="1"/>
    <n v="1"/>
  </r>
  <r>
    <d v="2025-01-09T00:00:00"/>
    <x v="4"/>
    <x v="24"/>
    <x v="0"/>
    <s v="C#"/>
    <n v="292"/>
    <n v="19.34"/>
    <n v="0.24199999999999999"/>
    <n v="66"/>
    <n v="72.599999999999994"/>
    <b v="0"/>
    <n v="1"/>
    <s v="Low"/>
    <n v="6"/>
    <n v="1"/>
    <n v="136"/>
    <b v="0"/>
    <n v="3.4246575342465699"/>
    <n v="465.75342465753403"/>
    <s v="Low"/>
    <n v="0"/>
    <n v="1"/>
    <n v="1"/>
  </r>
  <r>
    <d v="2025-01-09T00:00:00"/>
    <x v="4"/>
    <x v="25"/>
    <x v="1"/>
    <s v="Java"/>
    <n v="521"/>
    <n v="32.58"/>
    <n v="0.61"/>
    <n v="24"/>
    <n v="82.17"/>
    <b v="0"/>
    <n v="0"/>
    <s v="Unknown"/>
    <n v="5"/>
    <n v="5"/>
    <n v="1"/>
    <b v="0"/>
    <n v="0"/>
    <n v="1.9193857965451"/>
    <s v="Medium"/>
    <n v="0"/>
    <n v="1"/>
    <n v="1"/>
  </r>
  <r>
    <d v="2025-01-09T00:00:00"/>
    <x v="4"/>
    <x v="26"/>
    <x v="2"/>
    <s v="TypeScript"/>
    <n v="80"/>
    <n v="53.69"/>
    <n v="0.308"/>
    <n v="135"/>
    <n v="84.1"/>
    <b v="0"/>
    <n v="1"/>
    <s v="High"/>
    <n v="12"/>
    <n v="2"/>
    <n v="130"/>
    <b v="0"/>
    <n v="12.5"/>
    <n v="1625"/>
    <s v="High"/>
    <n v="0"/>
    <n v="1"/>
    <n v="1"/>
  </r>
  <r>
    <d v="2025-01-09T00:00:00"/>
    <x v="4"/>
    <x v="27"/>
    <x v="3"/>
    <s v="JavaScript"/>
    <n v="166"/>
    <n v="14.83"/>
    <n v="0.77"/>
    <n v="92"/>
    <n v="85.64"/>
    <b v="0"/>
    <n v="0"/>
    <s v="Unknown"/>
    <n v="10"/>
    <n v="6"/>
    <n v="187"/>
    <b v="0"/>
    <n v="0"/>
    <n v="1126.5060240963801"/>
    <s v="Low"/>
    <n v="0"/>
    <n v="1"/>
    <n v="1"/>
  </r>
  <r>
    <d v="2025-01-09T00:00:00"/>
    <x v="4"/>
    <x v="28"/>
    <x v="4"/>
    <s v="Java"/>
    <n v="391"/>
    <n v="31.28"/>
    <n v="0.442"/>
    <n v="61"/>
    <n v="87.57"/>
    <b v="0"/>
    <n v="0"/>
    <s v="Unknown"/>
    <n v="10"/>
    <n v="12"/>
    <n v="98"/>
    <b v="0"/>
    <n v="0"/>
    <n v="250.639386189258"/>
    <s v="Medium"/>
    <n v="0"/>
    <n v="1"/>
    <n v="1"/>
  </r>
  <r>
    <d v="2025-01-09T00:00:00"/>
    <x v="4"/>
    <x v="29"/>
    <x v="5"/>
    <s v="TypeScript"/>
    <n v="432"/>
    <n v="33.21"/>
    <n v="0.60399999999999998"/>
    <n v="140"/>
    <n v="73.33"/>
    <b v="0"/>
    <n v="0"/>
    <s v="Unknown"/>
    <n v="12"/>
    <n v="2"/>
    <n v="150"/>
    <b v="0"/>
    <n v="0"/>
    <n v="347.222222222222"/>
    <s v="Medium"/>
    <n v="0"/>
    <n v="1"/>
    <n v="1"/>
  </r>
  <r>
    <d v="2025-01-09T00:00:00"/>
    <x v="4"/>
    <x v="30"/>
    <x v="0"/>
    <s v="JavaScript"/>
    <n v="246"/>
    <n v="40.340000000000003"/>
    <n v="0.79400000000000004"/>
    <n v="90"/>
    <n v="88.76"/>
    <b v="0"/>
    <n v="1"/>
    <s v="Medium"/>
    <n v="12"/>
    <n v="15"/>
    <n v="115"/>
    <b v="0"/>
    <n v="4.0650406504065"/>
    <n v="467.47967479674799"/>
    <s v="High"/>
    <n v="0"/>
    <n v="1"/>
    <n v="1"/>
  </r>
  <r>
    <d v="2025-01-09T00:00:00"/>
    <x v="4"/>
    <x v="31"/>
    <x v="1"/>
    <s v="Python"/>
    <n v="116"/>
    <n v="40"/>
    <n v="0.83299999999999996"/>
    <n v="34"/>
    <n v="63.61"/>
    <b v="0"/>
    <n v="0"/>
    <s v="Unknown"/>
    <n v="12"/>
    <n v="10"/>
    <n v="44"/>
    <b v="0"/>
    <n v="0"/>
    <n v="379.31034482758599"/>
    <s v="Medium"/>
    <n v="0"/>
    <n v="1"/>
    <n v="1"/>
  </r>
  <r>
    <d v="2025-01-09T00:00:00"/>
    <x v="4"/>
    <x v="32"/>
    <x v="2"/>
    <s v="TypeScript"/>
    <n v="128"/>
    <n v="38"/>
    <n v="0.34899999999999998"/>
    <n v="105"/>
    <n v="100"/>
    <b v="0"/>
    <n v="1"/>
    <s v="Medium"/>
    <n v="6"/>
    <n v="1"/>
    <n v="120"/>
    <b v="0"/>
    <n v="7.8125"/>
    <n v="937.5"/>
    <s v="Medium"/>
    <n v="0"/>
    <n v="1"/>
    <n v="1"/>
  </r>
  <r>
    <d v="2025-01-09T00:00:00"/>
    <x v="4"/>
    <x v="33"/>
    <x v="3"/>
    <s v="JavaScript"/>
    <n v="132"/>
    <n v="13.16"/>
    <n v="0.66"/>
    <n v="121"/>
    <n v="59.55"/>
    <b v="0"/>
    <n v="0"/>
    <s v="Unknown"/>
    <n v="12"/>
    <n v="4"/>
    <n v="137"/>
    <b v="0"/>
    <n v="0"/>
    <n v="1037.87878787878"/>
    <s v="Low"/>
    <n v="1"/>
    <n v="1"/>
    <n v="1"/>
  </r>
  <r>
    <d v="2025-01-09T00:00:00"/>
    <x v="4"/>
    <x v="34"/>
    <x v="4"/>
    <s v="Python"/>
    <n v="225"/>
    <n v="26.24"/>
    <n v="0.754"/>
    <n v="93"/>
    <n v="89.95"/>
    <b v="0"/>
    <n v="0"/>
    <s v="Unknown"/>
    <n v="9"/>
    <n v="3"/>
    <n v="165"/>
    <b v="0"/>
    <n v="0"/>
    <n v="733.33333333333303"/>
    <s v="Medium"/>
    <n v="0"/>
    <n v="1"/>
    <n v="1"/>
  </r>
  <r>
    <d v="2025-01-09T00:00:00"/>
    <x v="4"/>
    <x v="35"/>
    <x v="5"/>
    <s v="C#"/>
    <n v="262"/>
    <n v="43.25"/>
    <n v="0.61299999999999999"/>
    <n v="136"/>
    <n v="60.63"/>
    <b v="0"/>
    <n v="4"/>
    <s v="Low"/>
    <n v="16"/>
    <n v="4"/>
    <n v="205"/>
    <b v="0"/>
    <n v="15.267175572518999"/>
    <n v="782.44274809160299"/>
    <s v="High"/>
    <n v="0"/>
    <n v="1"/>
    <n v="1"/>
  </r>
  <r>
    <d v="2025-01-09T00:00:00"/>
    <x v="4"/>
    <x v="36"/>
    <x v="0"/>
    <s v="JavaScript"/>
    <n v="220"/>
    <n v="23.72"/>
    <n v="0.111"/>
    <n v="22"/>
    <n v="49.45"/>
    <b v="0"/>
    <n v="0"/>
    <s v="Unknown"/>
    <n v="6"/>
    <n v="1"/>
    <n v="3"/>
    <b v="0"/>
    <n v="0"/>
    <n v="13.636363636363599"/>
    <s v="Medium"/>
    <n v="1"/>
    <n v="1"/>
    <n v="1"/>
  </r>
  <r>
    <d v="2025-01-09T00:00:00"/>
    <x v="4"/>
    <x v="37"/>
    <x v="1"/>
    <s v="Python"/>
    <n v="217"/>
    <n v="27.97"/>
    <n v="0.24"/>
    <n v="63"/>
    <n v="37.08"/>
    <b v="0"/>
    <n v="3"/>
    <s v="Medium"/>
    <n v="10"/>
    <n v="6"/>
    <n v="49"/>
    <b v="0"/>
    <n v="13.824884792626699"/>
    <n v="225.806451612903"/>
    <s v="Medium"/>
    <n v="1"/>
    <n v="1"/>
    <n v="1"/>
  </r>
  <r>
    <d v="2025-01-09T00:00:00"/>
    <x v="4"/>
    <x v="38"/>
    <x v="2"/>
    <s v="C#"/>
    <n v="243"/>
    <n v="35.24"/>
    <n v="0.52100000000000002"/>
    <n v="124"/>
    <n v="87.03"/>
    <b v="0"/>
    <n v="1"/>
    <s v="Low"/>
    <n v="14"/>
    <n v="12"/>
    <n v="193"/>
    <b v="0"/>
    <n v="4.1152263374485596"/>
    <n v="794.23868312757202"/>
    <s v="Medium"/>
    <n v="0"/>
    <n v="1"/>
    <n v="1"/>
  </r>
  <r>
    <d v="2025-01-09T00:00:00"/>
    <x v="4"/>
    <x v="39"/>
    <x v="3"/>
    <s v="Java"/>
    <n v="129"/>
    <n v="29.69"/>
    <n v="0.35499999999999998"/>
    <n v="0"/>
    <n v="71.42"/>
    <b v="0"/>
    <n v="0"/>
    <s v="Unknown"/>
    <n v="8"/>
    <n v="1"/>
    <n v="15"/>
    <b v="0"/>
    <n v="0"/>
    <n v="116.279069767441"/>
    <s v="Medium"/>
    <n v="0"/>
    <n v="1"/>
    <n v="1"/>
  </r>
  <r>
    <d v="2025-01-09T00:00:00"/>
    <x v="4"/>
    <x v="40"/>
    <x v="4"/>
    <s v="Python"/>
    <n v="203"/>
    <n v="23.65"/>
    <n v="0.73699999999999999"/>
    <n v="117"/>
    <n v="98.02"/>
    <b v="0"/>
    <n v="0"/>
    <s v="Unknown"/>
    <n v="15"/>
    <n v="6"/>
    <n v="231"/>
    <b v="0"/>
    <n v="0"/>
    <n v="1137.93103448275"/>
    <s v="Medium"/>
    <n v="0"/>
    <n v="1"/>
    <n v="1"/>
  </r>
  <r>
    <d v="2025-01-09T00:00:00"/>
    <x v="4"/>
    <x v="41"/>
    <x v="5"/>
    <s v="C#"/>
    <n v="80"/>
    <n v="37.020000000000003"/>
    <n v="0.82099999999999995"/>
    <n v="27"/>
    <n v="67.89"/>
    <b v="0"/>
    <n v="0"/>
    <s v="Unknown"/>
    <n v="9"/>
    <n v="6"/>
    <n v="84"/>
    <b v="0"/>
    <n v="0"/>
    <n v="1050"/>
    <s v="Medium"/>
    <n v="0"/>
    <n v="1"/>
    <n v="1"/>
  </r>
  <r>
    <d v="2025-01-09T00:00:00"/>
    <x v="4"/>
    <x v="42"/>
    <x v="0"/>
    <s v="Java"/>
    <n v="125"/>
    <n v="33.42"/>
    <n v="0.14599999999999999"/>
    <n v="195"/>
    <n v="100"/>
    <b v="0"/>
    <n v="0"/>
    <s v="Unknown"/>
    <n v="15"/>
    <n v="5"/>
    <n v="273"/>
    <b v="0"/>
    <n v="0"/>
    <n v="2184"/>
    <s v="Medium"/>
    <n v="0"/>
    <n v="1"/>
    <n v="1"/>
  </r>
  <r>
    <d v="2025-01-09T00:00:00"/>
    <x v="4"/>
    <x v="43"/>
    <x v="1"/>
    <s v="TypeScript"/>
    <n v="304"/>
    <n v="48.77"/>
    <n v="0.55500000000000005"/>
    <n v="104"/>
    <n v="96.85"/>
    <b v="0"/>
    <n v="3"/>
    <s v="Low"/>
    <n v="17"/>
    <n v="4"/>
    <n v="147"/>
    <b v="0"/>
    <n v="9.8684210526315699"/>
    <n v="483.552631578947"/>
    <s v="High"/>
    <n v="0"/>
    <n v="1"/>
    <n v="1"/>
  </r>
  <r>
    <d v="2025-01-09T00:00:00"/>
    <x v="4"/>
    <x v="44"/>
    <x v="2"/>
    <s v="C#"/>
    <n v="261"/>
    <n v="29.18"/>
    <n v="0.39400000000000002"/>
    <n v="44"/>
    <n v="86.42"/>
    <b v="0"/>
    <n v="0"/>
    <s v="Unknown"/>
    <n v="12"/>
    <n v="1"/>
    <n v="85"/>
    <b v="0"/>
    <n v="0"/>
    <n v="325.67049808429101"/>
    <s v="Medium"/>
    <n v="0"/>
    <n v="1"/>
    <n v="1"/>
  </r>
  <r>
    <d v="2025-01-09T00:00:00"/>
    <x v="4"/>
    <x v="45"/>
    <x v="3"/>
    <s v="Java"/>
    <n v="405"/>
    <n v="5"/>
    <n v="0.67400000000000004"/>
    <n v="176"/>
    <n v="60.47"/>
    <b v="0"/>
    <n v="2"/>
    <s v="Low"/>
    <n v="15"/>
    <n v="5"/>
    <n v="221"/>
    <b v="0"/>
    <n v="4.9382716049382704"/>
    <n v="545.67901234567898"/>
    <s v="Low"/>
    <n v="0"/>
    <n v="1"/>
    <n v="1"/>
  </r>
  <r>
    <d v="2025-01-09T00:00:00"/>
    <x v="4"/>
    <x v="46"/>
    <x v="4"/>
    <s v="TypeScript"/>
    <n v="83"/>
    <n v="42.62"/>
    <n v="0.27800000000000002"/>
    <n v="130"/>
    <n v="69.64"/>
    <b v="0"/>
    <n v="2"/>
    <s v="High"/>
    <n v="17"/>
    <n v="1"/>
    <n v="180"/>
    <b v="0"/>
    <n v="24.096385542168601"/>
    <n v="2168.6746987951801"/>
    <s v="High"/>
    <n v="0"/>
    <n v="1"/>
    <n v="1"/>
  </r>
  <r>
    <d v="2025-01-09T00:00:00"/>
    <x v="4"/>
    <x v="47"/>
    <x v="5"/>
    <s v="JavaScript"/>
    <n v="306"/>
    <n v="45.17"/>
    <n v="0.55600000000000005"/>
    <n v="95"/>
    <n v="61.29"/>
    <b v="0"/>
    <n v="0"/>
    <s v="Unknown"/>
    <n v="9"/>
    <n v="4"/>
    <n v="105"/>
    <b v="0"/>
    <n v="0"/>
    <n v="343.13725490195998"/>
    <s v="High"/>
    <n v="0"/>
    <n v="1"/>
    <n v="1"/>
  </r>
  <r>
    <d v="2025-01-09T00:00:00"/>
    <x v="4"/>
    <x v="48"/>
    <x v="0"/>
    <s v="Java"/>
    <n v="112"/>
    <n v="9.2100000000000009"/>
    <n v="0.80500000000000005"/>
    <n v="163"/>
    <n v="47.03"/>
    <b v="0"/>
    <n v="2"/>
    <s v="Medium"/>
    <n v="14"/>
    <n v="1"/>
    <n v="227"/>
    <b v="0"/>
    <n v="17.857142857142801"/>
    <n v="2026.7857142857099"/>
    <s v="Low"/>
    <n v="1"/>
    <n v="1"/>
    <n v="1"/>
  </r>
  <r>
    <d v="2025-01-09T00:00:00"/>
    <x v="4"/>
    <x v="49"/>
    <x v="1"/>
    <s v="TypeScript"/>
    <n v="291"/>
    <n v="41.55"/>
    <n v="0.308"/>
    <n v="170"/>
    <n v="28.74"/>
    <b v="0"/>
    <n v="5"/>
    <s v="Low"/>
    <n v="15"/>
    <n v="3"/>
    <n v="223"/>
    <b v="0"/>
    <n v="17.1821305841924"/>
    <n v="766.32302405498206"/>
    <s v="High"/>
    <n v="1"/>
    <n v="1"/>
    <n v="1"/>
  </r>
  <r>
    <d v="2025-01-09T00:00:00"/>
    <x v="4"/>
    <x v="50"/>
    <x v="2"/>
    <s v="JavaScript"/>
    <n v="80"/>
    <n v="37.68"/>
    <n v="0.30299999999999999"/>
    <n v="151"/>
    <n v="48.95"/>
    <b v="0"/>
    <n v="1"/>
    <s v="Medium"/>
    <n v="10"/>
    <n v="7"/>
    <n v="288"/>
    <b v="0"/>
    <n v="12.5"/>
    <n v="3600"/>
    <s v="Medium"/>
    <n v="1"/>
    <n v="1"/>
    <n v="1"/>
  </r>
  <r>
    <d v="2025-01-09T00:00:00"/>
    <x v="4"/>
    <x v="51"/>
    <x v="3"/>
    <s v="Python"/>
    <n v="131"/>
    <n v="42.67"/>
    <n v="0.53400000000000003"/>
    <n v="183"/>
    <n v="65.42"/>
    <b v="0"/>
    <n v="3"/>
    <s v="Low"/>
    <n v="18"/>
    <n v="1"/>
    <n v="261"/>
    <b v="0"/>
    <n v="22.900763358778601"/>
    <n v="1992.36641221374"/>
    <s v="High"/>
    <n v="0"/>
    <n v="1"/>
    <n v="1"/>
  </r>
  <r>
    <d v="2025-01-09T00:00:00"/>
    <x v="4"/>
    <x v="52"/>
    <x v="4"/>
    <s v="TypeScript"/>
    <n v="163"/>
    <n v="2.2200000000000002"/>
    <n v="0.86799999999999999"/>
    <n v="130"/>
    <n v="96.15"/>
    <b v="0"/>
    <n v="0"/>
    <s v="Unknown"/>
    <n v="5"/>
    <n v="10"/>
    <n v="132"/>
    <b v="0"/>
    <n v="0"/>
    <n v="809.81595092024497"/>
    <s v="Low"/>
    <n v="0"/>
    <n v="1"/>
    <n v="1"/>
  </r>
  <r>
    <d v="2025-01-09T00:00:00"/>
    <x v="4"/>
    <x v="53"/>
    <x v="5"/>
    <s v="JavaScript"/>
    <n v="80"/>
    <n v="21.72"/>
    <n v="0.86099999999999999"/>
    <n v="88"/>
    <n v="57.78"/>
    <b v="0"/>
    <n v="1"/>
    <s v="Medium"/>
    <n v="9"/>
    <n v="6"/>
    <n v="53"/>
    <b v="0"/>
    <n v="12.5"/>
    <n v="662.5"/>
    <s v="Medium"/>
    <n v="1"/>
    <n v="1"/>
    <n v="1"/>
  </r>
  <r>
    <d v="2025-01-09T00:00:00"/>
    <x v="4"/>
    <x v="54"/>
    <x v="0"/>
    <s v="Python"/>
    <n v="112"/>
    <n v="19.7"/>
    <n v="0.99"/>
    <n v="0"/>
    <n v="78.94"/>
    <b v="0"/>
    <n v="0"/>
    <s v="Unknown"/>
    <n v="6"/>
    <n v="8"/>
    <n v="1"/>
    <b v="0"/>
    <n v="0"/>
    <n v="8.9285714285714199"/>
    <s v="Low"/>
    <n v="0"/>
    <n v="1"/>
    <n v="1"/>
  </r>
  <r>
    <d v="2025-01-09T00:00:00"/>
    <x v="4"/>
    <x v="55"/>
    <x v="1"/>
    <s v="C#"/>
    <n v="582"/>
    <n v="16.84"/>
    <n v="0.08"/>
    <n v="160"/>
    <n v="95.39"/>
    <b v="0"/>
    <n v="0"/>
    <s v="Unknown"/>
    <n v="14"/>
    <n v="6"/>
    <n v="219"/>
    <b v="0"/>
    <n v="0"/>
    <n v="376.28865979381402"/>
    <s v="Low"/>
    <n v="0"/>
    <n v="1"/>
    <n v="1"/>
  </r>
  <r>
    <d v="2025-01-09T00:00:00"/>
    <x v="4"/>
    <x v="56"/>
    <x v="2"/>
    <s v="JavaScript"/>
    <n v="351"/>
    <n v="37.799999999999997"/>
    <n v="0.56899999999999995"/>
    <n v="101"/>
    <n v="100"/>
    <b v="0"/>
    <n v="1"/>
    <s v="Medium"/>
    <n v="10"/>
    <n v="8"/>
    <n v="184"/>
    <b v="0"/>
    <n v="2.8490028490028401"/>
    <n v="524.21652421652402"/>
    <s v="Medium"/>
    <n v="0"/>
    <n v="1"/>
    <n v="1"/>
  </r>
  <r>
    <d v="2025-01-09T00:00:00"/>
    <x v="4"/>
    <x v="57"/>
    <x v="3"/>
    <s v="Python"/>
    <n v="244"/>
    <n v="46.92"/>
    <n v="0.89500000000000002"/>
    <n v="43"/>
    <n v="53.99"/>
    <b v="0"/>
    <n v="3"/>
    <s v="High"/>
    <n v="11"/>
    <n v="5"/>
    <n v="32"/>
    <b v="0"/>
    <n v="12.2950819672131"/>
    <n v="131.14754098360601"/>
    <s v="High"/>
    <n v="1"/>
    <n v="1"/>
    <n v="1"/>
  </r>
  <r>
    <d v="2025-01-09T00:00:00"/>
    <x v="4"/>
    <x v="58"/>
    <x v="4"/>
    <s v="C#"/>
    <n v="159"/>
    <n v="41.48"/>
    <n v="0.26500000000000001"/>
    <n v="101"/>
    <n v="53.88"/>
    <b v="0"/>
    <n v="0"/>
    <s v="Unknown"/>
    <n v="16"/>
    <n v="5"/>
    <n v="119"/>
    <b v="0"/>
    <n v="0"/>
    <n v="748.427672955974"/>
    <s v="High"/>
    <n v="1"/>
    <n v="1"/>
    <n v="1"/>
  </r>
  <r>
    <d v="2025-01-09T00:00:00"/>
    <x v="4"/>
    <x v="59"/>
    <x v="5"/>
    <s v="Java"/>
    <n v="152"/>
    <n v="29.47"/>
    <n v="7.0999999999999994E-2"/>
    <n v="178"/>
    <n v="70.78"/>
    <b v="0"/>
    <n v="1"/>
    <s v="High"/>
    <n v="10"/>
    <n v="10"/>
    <n v="231"/>
    <b v="0"/>
    <n v="6.5789473684210504"/>
    <n v="1519.7368421052599"/>
    <s v="Medium"/>
    <n v="0"/>
    <n v="1"/>
    <n v="1"/>
  </r>
  <r>
    <d v="2025-04-09T00:00:00"/>
    <x v="5"/>
    <x v="0"/>
    <x v="0"/>
    <s v="Python"/>
    <n v="103"/>
    <n v="24.44"/>
    <n v="0.67700000000000005"/>
    <n v="131"/>
    <n v="75.099999999999994"/>
    <b v="0"/>
    <n v="1"/>
    <s v="Medium"/>
    <n v="12"/>
    <n v="7"/>
    <n v="203"/>
    <b v="0"/>
    <n v="9.7087378640776691"/>
    <n v="1970.87378640776"/>
    <s v="Medium"/>
    <n v="0"/>
    <n v="4"/>
    <n v="2"/>
  </r>
  <r>
    <d v="2025-04-09T00:00:00"/>
    <x v="5"/>
    <x v="1"/>
    <x v="1"/>
    <s v="C#"/>
    <n v="215"/>
    <n v="40.01"/>
    <n v="0.61699999999999999"/>
    <n v="95"/>
    <n v="45.49"/>
    <b v="0"/>
    <n v="4"/>
    <s v="Medium"/>
    <n v="13"/>
    <n v="12"/>
    <n v="123"/>
    <b v="0"/>
    <n v="18.604651162790699"/>
    <n v="572.09302325581302"/>
    <s v="High"/>
    <n v="1"/>
    <n v="4"/>
    <n v="2"/>
  </r>
  <r>
    <d v="2025-04-09T00:00:00"/>
    <x v="5"/>
    <x v="2"/>
    <x v="2"/>
    <s v="Java"/>
    <n v="176"/>
    <n v="34.33"/>
    <n v="0.65"/>
    <n v="36"/>
    <n v="66.88"/>
    <b v="0"/>
    <n v="0"/>
    <s v="Unknown"/>
    <n v="13"/>
    <n v="4"/>
    <n v="57"/>
    <b v="0"/>
    <n v="0"/>
    <n v="323.86363636363598"/>
    <s v="Medium"/>
    <n v="0"/>
    <n v="4"/>
    <n v="2"/>
  </r>
  <r>
    <d v="2025-04-09T00:00:00"/>
    <x v="5"/>
    <x v="3"/>
    <x v="3"/>
    <s v="TypeScript"/>
    <n v="150"/>
    <n v="48.27"/>
    <n v="0.05"/>
    <n v="114"/>
    <n v="85.21"/>
    <b v="0"/>
    <n v="1"/>
    <s v="Medium"/>
    <n v="6"/>
    <n v="1"/>
    <n v="127"/>
    <b v="0"/>
    <n v="6.6666666666666599"/>
    <n v="846.66666666666595"/>
    <s v="High"/>
    <n v="0"/>
    <n v="4"/>
    <n v="2"/>
  </r>
  <r>
    <d v="2025-04-09T00:00:00"/>
    <x v="5"/>
    <x v="4"/>
    <x v="4"/>
    <s v="C#"/>
    <n v="235"/>
    <n v="37.880000000000003"/>
    <n v="0.55100000000000005"/>
    <n v="176"/>
    <n v="67.25"/>
    <b v="0"/>
    <n v="1"/>
    <s v="Low"/>
    <n v="20"/>
    <n v="2"/>
    <n v="274"/>
    <b v="0"/>
    <n v="4.2553191489361701"/>
    <n v="1165.95744680851"/>
    <s v="Medium"/>
    <n v="0"/>
    <n v="4"/>
    <n v="2"/>
  </r>
  <r>
    <d v="2025-04-09T00:00:00"/>
    <x v="5"/>
    <x v="5"/>
    <x v="5"/>
    <s v="Java"/>
    <n v="333"/>
    <n v="26.24"/>
    <n v="0.499"/>
    <n v="119"/>
    <n v="44.42"/>
    <b v="0"/>
    <n v="2"/>
    <s v="Medium"/>
    <n v="16"/>
    <n v="8"/>
    <n v="168"/>
    <b v="0"/>
    <n v="6.0060060060060003"/>
    <n v="504.50450450450398"/>
    <s v="Medium"/>
    <n v="1"/>
    <n v="4"/>
    <n v="2"/>
  </r>
  <r>
    <d v="2025-04-09T00:00:00"/>
    <x v="5"/>
    <x v="6"/>
    <x v="0"/>
    <s v="TypeScript"/>
    <n v="199"/>
    <n v="13.9"/>
    <n v="0.23300000000000001"/>
    <n v="199"/>
    <n v="30.59"/>
    <b v="0"/>
    <n v="0"/>
    <s v="Unknown"/>
    <n v="17"/>
    <n v="7"/>
    <n v="289"/>
    <b v="0"/>
    <n v="0"/>
    <n v="1452.26130653266"/>
    <s v="Low"/>
    <n v="1"/>
    <n v="4"/>
    <n v="2"/>
  </r>
  <r>
    <d v="2025-04-09T00:00:00"/>
    <x v="5"/>
    <x v="7"/>
    <x v="1"/>
    <s v="JavaScript"/>
    <n v="104"/>
    <n v="6.64"/>
    <n v="0.58299999999999996"/>
    <n v="80"/>
    <n v="57.71"/>
    <b v="0"/>
    <n v="1"/>
    <s v="Medium"/>
    <n v="11"/>
    <n v="9"/>
    <n v="132"/>
    <b v="0"/>
    <n v="9.6153846153846096"/>
    <n v="1269.23076923076"/>
    <s v="Low"/>
    <n v="1"/>
    <n v="4"/>
    <n v="2"/>
  </r>
  <r>
    <d v="2025-04-09T00:00:00"/>
    <x v="5"/>
    <x v="8"/>
    <x v="2"/>
    <s v="Java"/>
    <n v="250"/>
    <n v="19.04"/>
    <n v="0.81599999999999995"/>
    <n v="118"/>
    <n v="60.99"/>
    <b v="0"/>
    <n v="1"/>
    <s v="Low"/>
    <n v="15"/>
    <n v="9"/>
    <n v="199"/>
    <b v="0"/>
    <n v="4"/>
    <n v="796"/>
    <s v="Low"/>
    <n v="0"/>
    <n v="4"/>
    <n v="2"/>
  </r>
  <r>
    <d v="2025-04-09T00:00:00"/>
    <x v="5"/>
    <x v="9"/>
    <x v="3"/>
    <s v="TypeScript"/>
    <n v="155"/>
    <n v="39.299999999999997"/>
    <n v="0.34100000000000003"/>
    <n v="185"/>
    <n v="72.680000000000007"/>
    <b v="0"/>
    <n v="3"/>
    <s v="Low"/>
    <n v="15"/>
    <n v="13"/>
    <n v="284"/>
    <b v="0"/>
    <n v="19.354838709677399"/>
    <n v="1832.2580645161199"/>
    <s v="Medium"/>
    <n v="0"/>
    <n v="4"/>
    <n v="2"/>
  </r>
  <r>
    <d v="2025-04-09T00:00:00"/>
    <x v="5"/>
    <x v="10"/>
    <x v="4"/>
    <s v="JavaScript"/>
    <n v="346"/>
    <n v="45.55"/>
    <n v="0.47199999999999998"/>
    <n v="39"/>
    <n v="70.73"/>
    <b v="0"/>
    <n v="2"/>
    <s v="Critical"/>
    <n v="6"/>
    <n v="9"/>
    <n v="69"/>
    <b v="0"/>
    <n v="5.7803468208092399"/>
    <n v="199.42196531791899"/>
    <s v="High"/>
    <n v="0"/>
    <n v="4"/>
    <n v="2"/>
  </r>
  <r>
    <d v="2025-04-09T00:00:00"/>
    <x v="5"/>
    <x v="11"/>
    <x v="5"/>
    <s v="Python"/>
    <n v="166"/>
    <n v="45.46"/>
    <n v="0.18"/>
    <n v="114"/>
    <n v="52.69"/>
    <b v="0"/>
    <n v="1"/>
    <s v="Medium"/>
    <n v="8"/>
    <n v="10"/>
    <n v="190"/>
    <b v="0"/>
    <n v="6.0240963855421601"/>
    <n v="1144.57831325301"/>
    <s v="High"/>
    <n v="1"/>
    <n v="4"/>
    <n v="2"/>
  </r>
  <r>
    <d v="2025-04-09T00:00:00"/>
    <x v="5"/>
    <x v="12"/>
    <x v="0"/>
    <s v="TypeScript"/>
    <n v="295"/>
    <n v="21.81"/>
    <n v="0.78100000000000003"/>
    <n v="123"/>
    <n v="56.74"/>
    <b v="0"/>
    <n v="4"/>
    <s v="Low"/>
    <n v="13"/>
    <n v="2"/>
    <n v="203"/>
    <b v="0"/>
    <n v="13.559322033898299"/>
    <n v="688.13559322033905"/>
    <s v="Medium"/>
    <n v="1"/>
    <n v="4"/>
    <n v="2"/>
  </r>
  <r>
    <d v="2025-04-09T00:00:00"/>
    <x v="5"/>
    <x v="13"/>
    <x v="1"/>
    <s v="JavaScript"/>
    <n v="105"/>
    <n v="24.91"/>
    <n v="0.49299999999999999"/>
    <n v="193"/>
    <n v="51.72"/>
    <b v="0"/>
    <n v="0"/>
    <s v="Unknown"/>
    <n v="15"/>
    <n v="10"/>
    <n v="323"/>
    <b v="0"/>
    <n v="0"/>
    <n v="3076.1904761904698"/>
    <s v="Medium"/>
    <n v="1"/>
    <n v="4"/>
    <n v="2"/>
  </r>
  <r>
    <d v="2025-04-09T00:00:00"/>
    <x v="5"/>
    <x v="14"/>
    <x v="2"/>
    <s v="Python"/>
    <n v="513"/>
    <n v="3.88"/>
    <n v="0.29099999999999998"/>
    <n v="55"/>
    <n v="51.75"/>
    <b v="0"/>
    <n v="0"/>
    <s v="Unknown"/>
    <n v="11"/>
    <n v="3"/>
    <n v="56"/>
    <b v="0"/>
    <n v="0"/>
    <n v="109.161793372319"/>
    <s v="Low"/>
    <n v="1"/>
    <n v="4"/>
    <n v="2"/>
  </r>
  <r>
    <d v="2025-04-09T00:00:00"/>
    <x v="5"/>
    <x v="15"/>
    <x v="3"/>
    <s v="C#"/>
    <n v="128"/>
    <n v="32.31"/>
    <n v="0.72"/>
    <n v="78"/>
    <n v="74.78"/>
    <b v="0"/>
    <n v="1"/>
    <s v="Critical"/>
    <n v="9"/>
    <n v="3"/>
    <n v="111"/>
    <b v="0"/>
    <n v="7.8125"/>
    <n v="867.1875"/>
    <s v="Medium"/>
    <n v="0"/>
    <n v="4"/>
    <n v="2"/>
  </r>
  <r>
    <d v="2025-04-09T00:00:00"/>
    <x v="5"/>
    <x v="16"/>
    <x v="4"/>
    <s v="JavaScript"/>
    <n v="146"/>
    <n v="27.67"/>
    <n v="0.748"/>
    <n v="83"/>
    <n v="88.85"/>
    <b v="0"/>
    <n v="0"/>
    <s v="Unknown"/>
    <n v="12"/>
    <n v="1"/>
    <n v="49"/>
    <b v="0"/>
    <n v="0"/>
    <n v="335.616438356164"/>
    <s v="Medium"/>
    <n v="0"/>
    <n v="4"/>
    <n v="2"/>
  </r>
  <r>
    <d v="2025-04-09T00:00:00"/>
    <x v="5"/>
    <x v="17"/>
    <x v="5"/>
    <s v="Python"/>
    <n v="243"/>
    <n v="12.39"/>
    <n v="0.252"/>
    <n v="109"/>
    <n v="32.61"/>
    <b v="0"/>
    <n v="1"/>
    <s v="High"/>
    <n v="14"/>
    <n v="9"/>
    <n v="126"/>
    <b v="0"/>
    <n v="4.1152263374485596"/>
    <n v="518.51851851851802"/>
    <s v="Low"/>
    <n v="1"/>
    <n v="4"/>
    <n v="2"/>
  </r>
  <r>
    <d v="2025-04-09T00:00:00"/>
    <x v="5"/>
    <x v="18"/>
    <x v="0"/>
    <s v="C#"/>
    <n v="725"/>
    <n v="32.700000000000003"/>
    <n v="0.39"/>
    <n v="97"/>
    <n v="36.06"/>
    <b v="0"/>
    <n v="5"/>
    <s v="High"/>
    <n v="15"/>
    <n v="12"/>
    <n v="116"/>
    <b v="0"/>
    <n v="6.8965517241379297"/>
    <n v="160"/>
    <s v="Medium"/>
    <n v="1"/>
    <n v="4"/>
    <n v="2"/>
  </r>
  <r>
    <d v="2025-04-09T00:00:00"/>
    <x v="5"/>
    <x v="19"/>
    <x v="1"/>
    <s v="Java"/>
    <n v="193"/>
    <n v="31.51"/>
    <n v="0.22900000000000001"/>
    <n v="72"/>
    <n v="80.14"/>
    <b v="0"/>
    <n v="0"/>
    <s v="Unknown"/>
    <n v="8"/>
    <n v="7"/>
    <n v="136"/>
    <b v="0"/>
    <n v="0"/>
    <n v="704.66321243523305"/>
    <s v="Medium"/>
    <n v="0"/>
    <n v="4"/>
    <n v="2"/>
  </r>
  <r>
    <d v="2025-04-09T00:00:00"/>
    <x v="5"/>
    <x v="20"/>
    <x v="2"/>
    <s v="Python"/>
    <n v="225"/>
    <n v="48.55"/>
    <n v="0.57199999999999995"/>
    <n v="178"/>
    <n v="48.64"/>
    <b v="0"/>
    <n v="0"/>
    <s v="Unknown"/>
    <n v="13"/>
    <n v="6"/>
    <n v="315"/>
    <b v="0"/>
    <n v="0"/>
    <n v="1400"/>
    <s v="High"/>
    <n v="1"/>
    <n v="4"/>
    <n v="2"/>
  </r>
  <r>
    <d v="2025-04-09T00:00:00"/>
    <x v="5"/>
    <x v="21"/>
    <x v="3"/>
    <s v="C#"/>
    <n v="80"/>
    <n v="39.54"/>
    <n v="0.67200000000000004"/>
    <n v="100"/>
    <n v="50.37"/>
    <b v="0"/>
    <n v="1"/>
    <s v="Medium"/>
    <n v="21"/>
    <n v="8"/>
    <n v="113"/>
    <b v="0"/>
    <n v="12.5"/>
    <n v="1412.5"/>
    <s v="Medium"/>
    <n v="1"/>
    <n v="4"/>
    <n v="2"/>
  </r>
  <r>
    <d v="2025-04-09T00:00:00"/>
    <x v="5"/>
    <x v="22"/>
    <x v="4"/>
    <s v="Java"/>
    <n v="331"/>
    <n v="14.93"/>
    <n v="0.71799999999999997"/>
    <n v="194"/>
    <n v="60.08"/>
    <b v="0"/>
    <n v="3"/>
    <s v="Medium"/>
    <n v="23"/>
    <n v="9"/>
    <n v="256"/>
    <b v="0"/>
    <n v="9.0634441087613293"/>
    <n v="773.41389728096601"/>
    <s v="Low"/>
    <n v="0"/>
    <n v="4"/>
    <n v="2"/>
  </r>
  <r>
    <d v="2025-04-09T00:00:00"/>
    <x v="5"/>
    <x v="23"/>
    <x v="5"/>
    <s v="TypeScript"/>
    <n v="168"/>
    <n v="36.1"/>
    <n v="0.25900000000000001"/>
    <n v="0"/>
    <n v="68.37"/>
    <b v="0"/>
    <n v="0"/>
    <s v="Unknown"/>
    <n v="4"/>
    <n v="11"/>
    <n v="1"/>
    <b v="0"/>
    <n v="0"/>
    <n v="5.9523809523809499"/>
    <s v="Medium"/>
    <n v="0"/>
    <n v="4"/>
    <n v="2"/>
  </r>
  <r>
    <d v="2025-04-09T00:00:00"/>
    <x v="5"/>
    <x v="24"/>
    <x v="0"/>
    <s v="C#"/>
    <n v="292"/>
    <n v="31.47"/>
    <n v="0.24199999999999999"/>
    <n v="0"/>
    <n v="51.51"/>
    <b v="0"/>
    <n v="0"/>
    <s v="Unknown"/>
    <n v="10"/>
    <n v="2"/>
    <n v="2"/>
    <b v="0"/>
    <n v="0"/>
    <n v="6.8493150684931496"/>
    <s v="Medium"/>
    <n v="1"/>
    <n v="4"/>
    <n v="2"/>
  </r>
  <r>
    <d v="2025-04-09T00:00:00"/>
    <x v="5"/>
    <x v="25"/>
    <x v="1"/>
    <s v="Java"/>
    <n v="521"/>
    <n v="21.91"/>
    <n v="0.45100000000000001"/>
    <n v="82"/>
    <n v="67.23"/>
    <b v="0"/>
    <n v="0"/>
    <s v="Unknown"/>
    <n v="5"/>
    <n v="3"/>
    <n v="121"/>
    <b v="0"/>
    <n v="0"/>
    <n v="232.24568138195701"/>
    <s v="Medium"/>
    <n v="0"/>
    <n v="4"/>
    <n v="2"/>
  </r>
  <r>
    <d v="2025-04-09T00:00:00"/>
    <x v="5"/>
    <x v="26"/>
    <x v="2"/>
    <s v="TypeScript"/>
    <n v="80"/>
    <n v="36.46"/>
    <n v="0.33600000000000002"/>
    <n v="192"/>
    <n v="77.19"/>
    <b v="0"/>
    <n v="2"/>
    <s v="Low"/>
    <n v="22"/>
    <n v="2"/>
    <n v="278"/>
    <b v="0"/>
    <n v="25"/>
    <n v="3475"/>
    <s v="Medium"/>
    <n v="0"/>
    <n v="4"/>
    <n v="2"/>
  </r>
  <r>
    <d v="2025-04-09T00:00:00"/>
    <x v="5"/>
    <x v="27"/>
    <x v="3"/>
    <s v="JavaScript"/>
    <n v="166"/>
    <n v="14.01"/>
    <n v="0.78100000000000003"/>
    <n v="131"/>
    <n v="65.319999999999993"/>
    <b v="0"/>
    <n v="0"/>
    <s v="Unknown"/>
    <n v="15"/>
    <n v="1"/>
    <n v="196"/>
    <b v="0"/>
    <n v="0"/>
    <n v="1180.7228915662599"/>
    <s v="Low"/>
    <n v="0"/>
    <n v="4"/>
    <n v="2"/>
  </r>
  <r>
    <d v="2025-04-09T00:00:00"/>
    <x v="5"/>
    <x v="28"/>
    <x v="4"/>
    <s v="Java"/>
    <n v="391"/>
    <n v="26.2"/>
    <n v="0.45900000000000002"/>
    <n v="58"/>
    <n v="88.48"/>
    <b v="0"/>
    <n v="1"/>
    <s v="Low"/>
    <n v="11"/>
    <n v="11"/>
    <n v="59"/>
    <b v="0"/>
    <n v="2.5575447570332401"/>
    <n v="150.89514066496099"/>
    <s v="Medium"/>
    <n v="0"/>
    <n v="4"/>
    <n v="2"/>
  </r>
  <r>
    <d v="2025-04-09T00:00:00"/>
    <x v="5"/>
    <x v="29"/>
    <x v="5"/>
    <s v="TypeScript"/>
    <n v="432"/>
    <n v="44.98"/>
    <n v="0.67900000000000005"/>
    <n v="153"/>
    <n v="71.16"/>
    <b v="0"/>
    <n v="2"/>
    <s v="Critical"/>
    <n v="27"/>
    <n v="7"/>
    <n v="212"/>
    <b v="0"/>
    <n v="4.6296296296296298"/>
    <n v="490.74074074074002"/>
    <s v="High"/>
    <n v="0"/>
    <n v="4"/>
    <n v="2"/>
  </r>
  <r>
    <d v="2025-04-09T00:00:00"/>
    <x v="5"/>
    <x v="30"/>
    <x v="0"/>
    <s v="JavaScript"/>
    <n v="246"/>
    <n v="25.77"/>
    <n v="0.68899999999999995"/>
    <n v="127"/>
    <n v="92.17"/>
    <b v="0"/>
    <n v="2"/>
    <s v="High"/>
    <n v="12"/>
    <n v="8"/>
    <n v="171"/>
    <b v="0"/>
    <n v="8.130081300813"/>
    <n v="695.12195121951197"/>
    <s v="Medium"/>
    <n v="0"/>
    <n v="4"/>
    <n v="2"/>
  </r>
  <r>
    <d v="2025-04-09T00:00:00"/>
    <x v="5"/>
    <x v="31"/>
    <x v="1"/>
    <s v="Python"/>
    <n v="116"/>
    <n v="47.3"/>
    <n v="0.79"/>
    <n v="36"/>
    <n v="63.61"/>
    <b v="0"/>
    <n v="1"/>
    <s v="Medium"/>
    <n v="8"/>
    <n v="10"/>
    <n v="82"/>
    <b v="0"/>
    <n v="8.6206896551724093"/>
    <n v="706.896551724137"/>
    <s v="High"/>
    <n v="0"/>
    <n v="4"/>
    <n v="2"/>
  </r>
  <r>
    <d v="2025-04-09T00:00:00"/>
    <x v="5"/>
    <x v="32"/>
    <x v="2"/>
    <s v="TypeScript"/>
    <n v="128"/>
    <n v="46.73"/>
    <n v="7.4999999999999997E-2"/>
    <n v="81"/>
    <n v="100"/>
    <b v="0"/>
    <n v="1"/>
    <s v="Low"/>
    <n v="17"/>
    <n v="1"/>
    <n v="95"/>
    <b v="0"/>
    <n v="7.8125"/>
    <n v="742.1875"/>
    <s v="High"/>
    <n v="0"/>
    <n v="4"/>
    <n v="2"/>
  </r>
  <r>
    <d v="2025-04-09T00:00:00"/>
    <x v="5"/>
    <x v="33"/>
    <x v="3"/>
    <s v="JavaScript"/>
    <n v="132"/>
    <n v="5.23"/>
    <n v="0.70699999999999996"/>
    <n v="112"/>
    <n v="47.47"/>
    <b v="0"/>
    <n v="1"/>
    <s v="Low"/>
    <n v="11"/>
    <n v="4"/>
    <n v="132"/>
    <b v="0"/>
    <n v="7.5757575757575699"/>
    <n v="1000"/>
    <s v="Low"/>
    <n v="1"/>
    <n v="4"/>
    <n v="2"/>
  </r>
  <r>
    <d v="2025-04-09T00:00:00"/>
    <x v="5"/>
    <x v="34"/>
    <x v="4"/>
    <s v="Python"/>
    <n v="225"/>
    <n v="37.950000000000003"/>
    <n v="0.71299999999999997"/>
    <n v="144"/>
    <n v="76.900000000000006"/>
    <b v="0"/>
    <n v="3"/>
    <s v="Low"/>
    <n v="23"/>
    <n v="1"/>
    <n v="239"/>
    <b v="0"/>
    <n v="13.3333333333333"/>
    <n v="1062.2222222222199"/>
    <s v="Medium"/>
    <n v="0"/>
    <n v="4"/>
    <n v="2"/>
  </r>
  <r>
    <d v="2025-04-09T00:00:00"/>
    <x v="5"/>
    <x v="35"/>
    <x v="5"/>
    <s v="C#"/>
    <n v="262"/>
    <n v="41.7"/>
    <n v="0.56499999999999995"/>
    <n v="179"/>
    <n v="58.11"/>
    <b v="0"/>
    <n v="1"/>
    <s v="Medium"/>
    <n v="25"/>
    <n v="3"/>
    <n v="275"/>
    <b v="0"/>
    <n v="3.8167938931297698"/>
    <n v="1049.61832061068"/>
    <s v="High"/>
    <n v="1"/>
    <n v="4"/>
    <n v="2"/>
  </r>
  <r>
    <d v="2025-04-09T00:00:00"/>
    <x v="5"/>
    <x v="36"/>
    <x v="0"/>
    <s v="JavaScript"/>
    <n v="220"/>
    <n v="24.13"/>
    <n v="0.159"/>
    <n v="4"/>
    <n v="33.22"/>
    <b v="0"/>
    <n v="1"/>
    <s v="Medium"/>
    <n v="8"/>
    <n v="1"/>
    <n v="1"/>
    <b v="0"/>
    <n v="4.5454545454545396"/>
    <n v="4.5454545454545396"/>
    <s v="Medium"/>
    <n v="1"/>
    <n v="4"/>
    <n v="2"/>
  </r>
  <r>
    <d v="2025-04-09T00:00:00"/>
    <x v="5"/>
    <x v="37"/>
    <x v="1"/>
    <s v="Python"/>
    <n v="217"/>
    <n v="30.14"/>
    <n v="0.12"/>
    <n v="73"/>
    <n v="37.97"/>
    <b v="0"/>
    <n v="0"/>
    <s v="Unknown"/>
    <n v="16"/>
    <n v="7"/>
    <n v="95"/>
    <b v="0"/>
    <n v="0"/>
    <n v="437.78801843317899"/>
    <s v="Medium"/>
    <n v="1"/>
    <n v="4"/>
    <n v="2"/>
  </r>
  <r>
    <d v="2025-04-09T00:00:00"/>
    <x v="5"/>
    <x v="38"/>
    <x v="2"/>
    <s v="C#"/>
    <n v="243"/>
    <n v="30.63"/>
    <n v="0.55200000000000005"/>
    <n v="93"/>
    <n v="77.53"/>
    <b v="0"/>
    <n v="1"/>
    <s v="Low"/>
    <n v="10"/>
    <n v="8"/>
    <n v="114"/>
    <b v="0"/>
    <n v="4.1152263374485596"/>
    <n v="469.135802469135"/>
    <s v="Medium"/>
    <n v="0"/>
    <n v="4"/>
    <n v="2"/>
  </r>
  <r>
    <d v="2025-04-09T00:00:00"/>
    <x v="5"/>
    <x v="39"/>
    <x v="3"/>
    <s v="Java"/>
    <n v="129"/>
    <n v="28.08"/>
    <n v="0.55900000000000005"/>
    <n v="0"/>
    <n v="88.87"/>
    <b v="0"/>
    <n v="0"/>
    <s v="Unknown"/>
    <n v="6"/>
    <n v="1"/>
    <n v="1"/>
    <b v="0"/>
    <n v="0"/>
    <n v="7.75193798449612"/>
    <s v="Medium"/>
    <n v="0"/>
    <n v="4"/>
    <n v="2"/>
  </r>
  <r>
    <d v="2025-04-09T00:00:00"/>
    <x v="5"/>
    <x v="40"/>
    <x v="4"/>
    <s v="Python"/>
    <n v="203"/>
    <n v="23.24"/>
    <n v="0.69599999999999995"/>
    <n v="156"/>
    <n v="97.05"/>
    <b v="0"/>
    <n v="0"/>
    <s v="Unknown"/>
    <n v="11"/>
    <n v="5"/>
    <n v="218"/>
    <b v="0"/>
    <n v="0"/>
    <n v="1073.8916256157599"/>
    <s v="Medium"/>
    <n v="0"/>
    <n v="4"/>
    <n v="2"/>
  </r>
  <r>
    <d v="2025-04-09T00:00:00"/>
    <x v="5"/>
    <x v="41"/>
    <x v="5"/>
    <s v="C#"/>
    <n v="80"/>
    <n v="50.21"/>
    <n v="0.80900000000000005"/>
    <n v="68"/>
    <n v="77.08"/>
    <b v="0"/>
    <n v="1"/>
    <s v="High"/>
    <n v="7"/>
    <n v="1"/>
    <n v="112"/>
    <b v="0"/>
    <n v="12.5"/>
    <n v="1400"/>
    <s v="High"/>
    <n v="0"/>
    <n v="4"/>
    <n v="2"/>
  </r>
  <r>
    <d v="2025-04-09T00:00:00"/>
    <x v="5"/>
    <x v="42"/>
    <x v="0"/>
    <s v="Java"/>
    <n v="125"/>
    <n v="32.200000000000003"/>
    <n v="0.35799999999999998"/>
    <n v="244"/>
    <n v="95.44"/>
    <b v="0"/>
    <n v="0"/>
    <s v="Unknown"/>
    <n v="26"/>
    <n v="7"/>
    <n v="270"/>
    <b v="0"/>
    <n v="0"/>
    <n v="2160"/>
    <s v="Medium"/>
    <n v="0"/>
    <n v="4"/>
    <n v="2"/>
  </r>
  <r>
    <d v="2025-04-09T00:00:00"/>
    <x v="5"/>
    <x v="43"/>
    <x v="1"/>
    <s v="TypeScript"/>
    <n v="304"/>
    <n v="51.8"/>
    <n v="0.65300000000000002"/>
    <n v="183"/>
    <n v="100"/>
    <b v="0"/>
    <n v="0"/>
    <s v="Unknown"/>
    <n v="18"/>
    <n v="6"/>
    <n v="259"/>
    <b v="0"/>
    <n v="0"/>
    <n v="851.97368421052602"/>
    <s v="High"/>
    <n v="0"/>
    <n v="4"/>
    <n v="2"/>
  </r>
  <r>
    <d v="2025-04-09T00:00:00"/>
    <x v="5"/>
    <x v="44"/>
    <x v="2"/>
    <s v="C#"/>
    <n v="261"/>
    <n v="15.06"/>
    <n v="0.38100000000000001"/>
    <n v="77"/>
    <n v="70.069999999999993"/>
    <b v="0"/>
    <n v="0"/>
    <s v="Unknown"/>
    <n v="11"/>
    <n v="5"/>
    <n v="122"/>
    <b v="0"/>
    <n v="0"/>
    <n v="467.43295019157"/>
    <s v="Low"/>
    <n v="0"/>
    <n v="4"/>
    <n v="2"/>
  </r>
  <r>
    <d v="2025-04-09T00:00:00"/>
    <x v="5"/>
    <x v="45"/>
    <x v="3"/>
    <s v="Java"/>
    <n v="405"/>
    <n v="13.35"/>
    <n v="0.70399999999999996"/>
    <n v="180"/>
    <n v="53.46"/>
    <b v="0"/>
    <n v="0"/>
    <s v="Unknown"/>
    <n v="13"/>
    <n v="5"/>
    <n v="337"/>
    <b v="0"/>
    <n v="0"/>
    <n v="832.09876543209805"/>
    <s v="Low"/>
    <n v="1"/>
    <n v="4"/>
    <n v="2"/>
  </r>
  <r>
    <d v="2025-04-09T00:00:00"/>
    <x v="5"/>
    <x v="46"/>
    <x v="4"/>
    <s v="TypeScript"/>
    <n v="83"/>
    <n v="42.5"/>
    <n v="0.38800000000000001"/>
    <n v="142"/>
    <n v="71.19"/>
    <b v="0"/>
    <n v="1"/>
    <s v="Medium"/>
    <n v="12"/>
    <n v="7"/>
    <n v="194"/>
    <b v="0"/>
    <n v="12.048192771084301"/>
    <n v="2337.3493975903598"/>
    <s v="High"/>
    <n v="0"/>
    <n v="4"/>
    <n v="2"/>
  </r>
  <r>
    <d v="2025-04-09T00:00:00"/>
    <x v="5"/>
    <x v="47"/>
    <x v="5"/>
    <s v="JavaScript"/>
    <n v="306"/>
    <n v="40.4"/>
    <n v="0.58699999999999997"/>
    <n v="75"/>
    <n v="42.84"/>
    <b v="0"/>
    <n v="4"/>
    <s v="Low"/>
    <n v="9"/>
    <n v="5"/>
    <n v="162"/>
    <b v="0"/>
    <n v="13.071895424836599"/>
    <n v="529.41176470588198"/>
    <s v="High"/>
    <n v="1"/>
    <n v="4"/>
    <n v="2"/>
  </r>
  <r>
    <d v="2025-04-09T00:00:00"/>
    <x v="5"/>
    <x v="48"/>
    <x v="0"/>
    <s v="Java"/>
    <n v="112"/>
    <n v="18.2"/>
    <n v="0.68500000000000005"/>
    <n v="204"/>
    <n v="35.99"/>
    <b v="0"/>
    <n v="1"/>
    <s v="Medium"/>
    <n v="12"/>
    <n v="1"/>
    <n v="277"/>
    <b v="0"/>
    <n v="8.9285714285714199"/>
    <n v="2473.2142857142799"/>
    <s v="Low"/>
    <n v="1"/>
    <n v="4"/>
    <n v="2"/>
  </r>
  <r>
    <d v="2025-04-09T00:00:00"/>
    <x v="5"/>
    <x v="49"/>
    <x v="1"/>
    <s v="TypeScript"/>
    <n v="291"/>
    <n v="37.82"/>
    <n v="0.17"/>
    <n v="134"/>
    <n v="44.57"/>
    <b v="0"/>
    <n v="0"/>
    <s v="Unknown"/>
    <n v="11"/>
    <n v="10"/>
    <n v="205"/>
    <b v="0"/>
    <n v="0"/>
    <n v="704.46735395189"/>
    <s v="Medium"/>
    <n v="1"/>
    <n v="4"/>
    <n v="2"/>
  </r>
  <r>
    <d v="2025-04-09T00:00:00"/>
    <x v="5"/>
    <x v="50"/>
    <x v="2"/>
    <s v="JavaScript"/>
    <n v="80"/>
    <n v="37.72"/>
    <n v="0.39800000000000002"/>
    <n v="207"/>
    <n v="78.2"/>
    <b v="0"/>
    <n v="0"/>
    <s v="Unknown"/>
    <n v="13"/>
    <n v="10"/>
    <n v="307"/>
    <b v="0"/>
    <n v="0"/>
    <n v="3837.5"/>
    <s v="Medium"/>
    <n v="0"/>
    <n v="4"/>
    <n v="2"/>
  </r>
  <r>
    <d v="2025-04-09T00:00:00"/>
    <x v="5"/>
    <x v="51"/>
    <x v="3"/>
    <s v="Python"/>
    <n v="131"/>
    <n v="52.89"/>
    <n v="0.52"/>
    <n v="127"/>
    <n v="67.290000000000006"/>
    <b v="0"/>
    <n v="3"/>
    <s v="Low"/>
    <n v="14"/>
    <n v="2"/>
    <n v="216"/>
    <b v="0"/>
    <n v="22.900763358778601"/>
    <n v="1648.8549618320601"/>
    <s v="High"/>
    <n v="0"/>
    <n v="4"/>
    <n v="2"/>
  </r>
  <r>
    <d v="2025-04-09T00:00:00"/>
    <x v="5"/>
    <x v="52"/>
    <x v="4"/>
    <s v="TypeScript"/>
    <n v="163"/>
    <n v="3.29"/>
    <n v="0.80400000000000005"/>
    <n v="199"/>
    <n v="64.790000000000006"/>
    <b v="0"/>
    <n v="1"/>
    <s v="Low"/>
    <n v="16"/>
    <n v="9"/>
    <n v="363"/>
    <b v="0"/>
    <n v="6.1349693251533699"/>
    <n v="2226.9938650306699"/>
    <s v="Low"/>
    <n v="0"/>
    <n v="4"/>
    <n v="2"/>
  </r>
  <r>
    <d v="2025-04-09T00:00:00"/>
    <x v="5"/>
    <x v="53"/>
    <x v="5"/>
    <s v="JavaScript"/>
    <n v="80"/>
    <n v="26.7"/>
    <n v="0.78600000000000003"/>
    <n v="82"/>
    <n v="68.28"/>
    <b v="0"/>
    <n v="1"/>
    <s v="Low"/>
    <n v="11"/>
    <n v="12"/>
    <n v="151"/>
    <b v="0"/>
    <n v="12.5"/>
    <n v="1887.5"/>
    <s v="Medium"/>
    <n v="0"/>
    <n v="4"/>
    <n v="2"/>
  </r>
  <r>
    <d v="2025-04-09T00:00:00"/>
    <x v="5"/>
    <x v="54"/>
    <x v="0"/>
    <s v="Python"/>
    <n v="112"/>
    <n v="20.37"/>
    <n v="0.86899999999999999"/>
    <n v="39"/>
    <n v="83.68"/>
    <b v="0"/>
    <n v="0"/>
    <s v="Unknown"/>
    <n v="8"/>
    <n v="6"/>
    <n v="88"/>
    <b v="0"/>
    <n v="0"/>
    <n v="785.71428571428498"/>
    <s v="Medium"/>
    <n v="0"/>
    <n v="4"/>
    <n v="2"/>
  </r>
  <r>
    <d v="2025-04-09T00:00:00"/>
    <x v="5"/>
    <x v="55"/>
    <x v="1"/>
    <s v="C#"/>
    <n v="582"/>
    <n v="16.36"/>
    <n v="0.19700000000000001"/>
    <n v="172"/>
    <n v="100"/>
    <b v="0"/>
    <n v="0"/>
    <s v="Unknown"/>
    <n v="16"/>
    <n v="4"/>
    <n v="181"/>
    <b v="0"/>
    <n v="0"/>
    <n v="310.99656357388301"/>
    <s v="Low"/>
    <n v="0"/>
    <n v="4"/>
    <n v="2"/>
  </r>
  <r>
    <d v="2025-04-09T00:00:00"/>
    <x v="5"/>
    <x v="56"/>
    <x v="2"/>
    <s v="JavaScript"/>
    <n v="351"/>
    <n v="30.88"/>
    <n v="0.46200000000000002"/>
    <n v="49"/>
    <n v="85.87"/>
    <b v="0"/>
    <n v="1"/>
    <s v="Low"/>
    <n v="10"/>
    <n v="6"/>
    <n v="27"/>
    <b v="0"/>
    <n v="2.8490028490028401"/>
    <n v="76.923076923076906"/>
    <s v="Medium"/>
    <n v="0"/>
    <n v="4"/>
    <n v="2"/>
  </r>
  <r>
    <d v="2025-04-09T00:00:00"/>
    <x v="5"/>
    <x v="57"/>
    <x v="3"/>
    <s v="Python"/>
    <n v="244"/>
    <n v="40.44"/>
    <n v="0.7"/>
    <n v="39"/>
    <n v="51.25"/>
    <b v="0"/>
    <n v="4"/>
    <s v="Low"/>
    <n v="10"/>
    <n v="7"/>
    <n v="76"/>
    <b v="0"/>
    <n v="16.393442622950801"/>
    <n v="311.47540983606501"/>
    <s v="High"/>
    <n v="1"/>
    <n v="4"/>
    <n v="2"/>
  </r>
  <r>
    <d v="2025-04-09T00:00:00"/>
    <x v="5"/>
    <x v="58"/>
    <x v="4"/>
    <s v="C#"/>
    <n v="159"/>
    <n v="48.72"/>
    <n v="0.182"/>
    <n v="96"/>
    <n v="56.23"/>
    <b v="0"/>
    <n v="1"/>
    <s v="Low"/>
    <n v="8"/>
    <n v="5"/>
    <n v="171"/>
    <b v="0"/>
    <n v="6.2893081761006204"/>
    <n v="1075.4716981132001"/>
    <s v="High"/>
    <n v="1"/>
    <n v="4"/>
    <n v="2"/>
  </r>
  <r>
    <d v="2025-04-09T00:00:00"/>
    <x v="5"/>
    <x v="59"/>
    <x v="5"/>
    <s v="Java"/>
    <n v="152"/>
    <n v="36.36"/>
    <n v="0.05"/>
    <n v="189"/>
    <n v="90.61"/>
    <b v="0"/>
    <n v="0"/>
    <s v="Unknown"/>
    <n v="5"/>
    <n v="11"/>
    <n v="288"/>
    <b v="0"/>
    <n v="0"/>
    <n v="1894.7368421052599"/>
    <s v="Medium"/>
    <n v="0"/>
    <n v="4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87A56E-3B9D-4459-983B-50602E3BE57A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1:N9" firstHeaderRow="1" firstDataRow="2" firstDataCol="1"/>
  <pivotFields count="23">
    <pivotField numFmtId="14"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7">
        <item x="0"/>
        <item x="4"/>
        <item x="5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defect_count" fld="11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37202-97C4-4583-9931-E651D746A1E5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D1:E8" firstHeaderRow="1" firstDataRow="1" firstDataCol="1"/>
  <pivotFields count="23">
    <pivotField numFmtId="14" showAll="0"/>
    <pivotField showAll="0"/>
    <pivotField showAll="0"/>
    <pivotField axis="axisRow" showAll="0">
      <items count="7">
        <item x="0"/>
        <item x="4"/>
        <item x="5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est_coverage" fld="9" subtotal="average" baseField="3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7F35D-5535-4F42-AEAF-D5E475FFFC0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12" firstHeaderRow="1" firstDataRow="1" firstDataCol="1"/>
  <pivotFields count="23">
    <pivotField numFmtId="14" showAll="0"/>
    <pivotField showAll="0"/>
    <pivotField axis="axisRow" showAll="0" measureFilter="1" sortType="descending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 v="49"/>
    </i>
    <i>
      <x v="51"/>
    </i>
    <i>
      <x v="18"/>
    </i>
    <i>
      <x v="57"/>
    </i>
    <i>
      <x v="9"/>
    </i>
    <i>
      <x v="35"/>
    </i>
    <i>
      <x v="1"/>
    </i>
    <i>
      <x v="26"/>
    </i>
    <i>
      <x v="31"/>
    </i>
    <i>
      <x v="22"/>
    </i>
    <i t="grand">
      <x/>
    </i>
  </rowItems>
  <colItems count="1">
    <i/>
  </colItems>
  <dataFields count="1">
    <dataField name="Sum of defect_count" fld="11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D648F0-53A5-4240-91A6-234291214B2A}" name="QualityData" displayName="QualityData" ref="A1:W361" totalsRowShown="0">
  <autoFilter ref="A1:W361" xr:uid="{CBD648F0-53A5-4240-91A6-234291214B2A}"/>
  <tableColumns count="23">
    <tableColumn id="1" xr3:uid="{B07C9419-0453-461D-AD76-616A0592E7FD}" name="release_date" dataDxfId="0"/>
    <tableColumn id="2" xr3:uid="{876ED95A-D5D3-4CBA-914C-08E850D446DC}" name="version"/>
    <tableColumn id="3" xr3:uid="{0E359DFA-D7FB-4486-B6C8-1F6939ABFC95}" name="module"/>
    <tableColumn id="4" xr3:uid="{C5F2809F-BE04-4CB0-AA3F-FAF3BAD4BD58}" name="component"/>
    <tableColumn id="5" xr3:uid="{65060B42-D537-488D-B8A8-1893DB648782}" name="language"/>
    <tableColumn id="6" xr3:uid="{9FE1B79B-C0CC-4EC7-B7A9-C4A33951F672}" name="size"/>
    <tableColumn id="7" xr3:uid="{D6CAB9E8-0F3A-44C5-9F84-25499E81C586}" name="complexity"/>
    <tableColumn id="8" xr3:uid="{41AEA67A-A6E2-4BE5-BAEE-5D47EC026A4D}" name="coupling"/>
    <tableColumn id="9" xr3:uid="{0FD75C7F-EB35-402B-A788-F72FBF364276}" name="churn"/>
    <tableColumn id="10" xr3:uid="{97270D43-803D-4FB4-A9FD-53BFEC4C1D25}" name="test_coverage"/>
    <tableColumn id="11" xr3:uid="{A444B871-008C-4619-AB01-EA6B53EDBD2A}" name="complexity_outlier_flag"/>
    <tableColumn id="12" xr3:uid="{DCBDB762-9204-400A-80D1-B25D8AFFEBC0}" name="defect_count"/>
    <tableColumn id="13" xr3:uid="{91A0CA1A-204B-4C8B-A960-B7FB58FAD9ED}" name="severity"/>
    <tableColumn id="14" xr3:uid="{7503ABD3-079B-4ACC-B3DA-FF0B99D6B9EB}" name="commit_count"/>
    <tableColumn id="15" xr3:uid="{2ACDC445-57D7-4D39-A85C-9303BB0CBD0D}" name="contributors"/>
    <tableColumn id="16" xr3:uid="{FFE37E6E-DF22-479E-82A4-4B008B22C7DF}" name="changed_lines"/>
    <tableColumn id="17" xr3:uid="{34DCAA70-EFE2-431D-AA2D-61CC89C31249}" name="defect_record_missing"/>
    <tableColumn id="18" xr3:uid="{64EA8F94-F37C-4857-A400-7609FA063882}" name="defects_per_1000_lines"/>
    <tableColumn id="19" xr3:uid="{F9847FCB-68B1-4A08-A521-0990B918D401}" name="churn_per_kloc"/>
    <tableColumn id="20" xr3:uid="{2666E7F5-6F0F-478E-9CB9-FC9374AD0764}" name="complexity_band"/>
    <tableColumn id="21" xr3:uid="{E73F3BA9-EEDD-4CAF-8474-4A799B26AEE0}" name="low_coverage_flag"/>
    <tableColumn id="22" xr3:uid="{62D1BD37-DC15-4E95-9810-6183FB346A8C}" name="release_month"/>
    <tableColumn id="23" xr3:uid="{FBEC3A58-2052-44F0-B1F7-CF7366FBFC22}" name="release_quar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82E9-8C41-4580-BC80-C9AB8AAD90DA}">
  <dimension ref="A1:W361"/>
  <sheetViews>
    <sheetView topLeftCell="A5" zoomScale="88" zoomScaleNormal="115" workbookViewId="0">
      <selection activeCell="D352" sqref="D352"/>
    </sheetView>
  </sheetViews>
  <sheetFormatPr defaultRowHeight="14.4"/>
  <cols>
    <col min="1" max="1" width="13.5546875" customWidth="1"/>
    <col min="3" max="3" width="9.21875" customWidth="1"/>
    <col min="4" max="4" width="12.33203125" customWidth="1"/>
    <col min="5" max="5" width="10.21875" customWidth="1"/>
    <col min="7" max="7" width="12.21875" customWidth="1"/>
    <col min="8" max="8" width="10" customWidth="1"/>
    <col min="10" max="10" width="14.33203125" customWidth="1"/>
    <col min="11" max="11" width="22.21875" customWidth="1"/>
    <col min="12" max="12" width="13.6640625" customWidth="1"/>
    <col min="13" max="13" width="9.44140625" customWidth="1"/>
    <col min="14" max="14" width="14.88671875" customWidth="1"/>
    <col min="15" max="15" width="13.109375" customWidth="1"/>
    <col min="16" max="16" width="14.6640625" customWidth="1"/>
    <col min="17" max="17" width="21.6640625" customWidth="1"/>
    <col min="18" max="18" width="22.21875" customWidth="1"/>
    <col min="19" max="19" width="15.44140625" customWidth="1"/>
    <col min="20" max="20" width="17.21875" customWidth="1"/>
    <col min="21" max="21" width="17.77734375" customWidth="1"/>
    <col min="22" max="22" width="15.109375" customWidth="1"/>
    <col min="23" max="23" width="15.886718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>
        <v>45306</v>
      </c>
      <c r="B2" t="s">
        <v>23</v>
      </c>
      <c r="C2" t="s">
        <v>24</v>
      </c>
      <c r="D2" t="s">
        <v>25</v>
      </c>
      <c r="E2" t="s">
        <v>26</v>
      </c>
      <c r="F2">
        <v>103</v>
      </c>
      <c r="G2">
        <v>29.57</v>
      </c>
      <c r="H2">
        <v>0.91700000000000004</v>
      </c>
      <c r="I2">
        <v>112</v>
      </c>
      <c r="J2">
        <v>74.040000000000006</v>
      </c>
      <c r="K2" t="b">
        <v>0</v>
      </c>
      <c r="L2">
        <v>1</v>
      </c>
      <c r="M2" t="s">
        <v>27</v>
      </c>
      <c r="N2">
        <v>11</v>
      </c>
      <c r="O2">
        <v>2</v>
      </c>
      <c r="P2">
        <v>134</v>
      </c>
      <c r="Q2" t="b">
        <v>0</v>
      </c>
      <c r="R2">
        <v>9.7087378640776691</v>
      </c>
      <c r="S2">
        <v>1300.9708737864</v>
      </c>
      <c r="T2" t="s">
        <v>28</v>
      </c>
      <c r="U2">
        <v>0</v>
      </c>
      <c r="V2">
        <v>1</v>
      </c>
      <c r="W2">
        <v>1</v>
      </c>
    </row>
    <row r="3" spans="1:23">
      <c r="A3" s="1">
        <v>45306</v>
      </c>
      <c r="B3" t="s">
        <v>23</v>
      </c>
      <c r="C3" t="s">
        <v>29</v>
      </c>
      <c r="D3" t="s">
        <v>30</v>
      </c>
      <c r="E3" t="s">
        <v>31</v>
      </c>
      <c r="F3">
        <v>215</v>
      </c>
      <c r="G3">
        <v>36.659999999999997</v>
      </c>
      <c r="H3">
        <v>0.55200000000000005</v>
      </c>
      <c r="I3">
        <v>31</v>
      </c>
      <c r="J3">
        <v>48.17</v>
      </c>
      <c r="K3" t="b">
        <v>0</v>
      </c>
      <c r="L3">
        <v>2</v>
      </c>
      <c r="M3" t="s">
        <v>28</v>
      </c>
      <c r="N3">
        <v>10</v>
      </c>
      <c r="O3">
        <v>9</v>
      </c>
      <c r="P3">
        <v>36</v>
      </c>
      <c r="Q3" t="b">
        <v>0</v>
      </c>
      <c r="R3">
        <v>9.3023255813953494</v>
      </c>
      <c r="S3">
        <v>167.44186046511601</v>
      </c>
      <c r="T3" t="s">
        <v>28</v>
      </c>
      <c r="U3">
        <v>1</v>
      </c>
      <c r="V3">
        <v>1</v>
      </c>
      <c r="W3">
        <v>1</v>
      </c>
    </row>
    <row r="4" spans="1:23">
      <c r="A4" s="1">
        <v>45306</v>
      </c>
      <c r="B4" t="s">
        <v>23</v>
      </c>
      <c r="C4" t="s">
        <v>32</v>
      </c>
      <c r="D4" t="s">
        <v>33</v>
      </c>
      <c r="E4" t="s">
        <v>34</v>
      </c>
      <c r="F4">
        <v>176</v>
      </c>
      <c r="G4">
        <v>29.94</v>
      </c>
      <c r="H4">
        <v>0.60799999999999998</v>
      </c>
      <c r="I4">
        <v>30</v>
      </c>
      <c r="J4">
        <v>43.12</v>
      </c>
      <c r="K4" t="b">
        <v>0</v>
      </c>
      <c r="L4">
        <v>0</v>
      </c>
      <c r="M4" t="s">
        <v>35</v>
      </c>
      <c r="N4">
        <v>13</v>
      </c>
      <c r="O4">
        <v>1</v>
      </c>
      <c r="P4">
        <v>59</v>
      </c>
      <c r="Q4" t="b">
        <v>0</v>
      </c>
      <c r="R4">
        <v>0</v>
      </c>
      <c r="S4">
        <v>335.22727272727201</v>
      </c>
      <c r="T4" t="s">
        <v>28</v>
      </c>
      <c r="U4">
        <v>1</v>
      </c>
      <c r="V4">
        <v>1</v>
      </c>
      <c r="W4">
        <v>1</v>
      </c>
    </row>
    <row r="5" spans="1:23">
      <c r="A5" s="1">
        <v>45306</v>
      </c>
      <c r="B5" t="s">
        <v>23</v>
      </c>
      <c r="C5" t="s">
        <v>36</v>
      </c>
      <c r="D5" t="s">
        <v>37</v>
      </c>
      <c r="E5" t="s">
        <v>38</v>
      </c>
      <c r="F5">
        <v>150</v>
      </c>
      <c r="G5">
        <v>44.45</v>
      </c>
      <c r="H5">
        <v>8.7999999999999995E-2</v>
      </c>
      <c r="I5">
        <v>52</v>
      </c>
      <c r="J5">
        <v>76.2</v>
      </c>
      <c r="K5" t="b">
        <v>0</v>
      </c>
      <c r="L5">
        <v>1</v>
      </c>
      <c r="M5" t="s">
        <v>28</v>
      </c>
      <c r="N5">
        <v>13</v>
      </c>
      <c r="O5">
        <v>6</v>
      </c>
      <c r="P5">
        <v>76</v>
      </c>
      <c r="Q5" t="b">
        <v>0</v>
      </c>
      <c r="R5">
        <v>6.6666666666666599</v>
      </c>
      <c r="S5">
        <v>506.666666666666</v>
      </c>
      <c r="T5" t="s">
        <v>39</v>
      </c>
      <c r="U5">
        <v>0</v>
      </c>
      <c r="V5">
        <v>1</v>
      </c>
      <c r="W5">
        <v>1</v>
      </c>
    </row>
    <row r="6" spans="1:23">
      <c r="A6" s="1">
        <v>45306</v>
      </c>
      <c r="B6" t="s">
        <v>23</v>
      </c>
      <c r="C6" t="s">
        <v>40</v>
      </c>
      <c r="D6" t="s">
        <v>41</v>
      </c>
      <c r="E6" t="s">
        <v>31</v>
      </c>
      <c r="F6">
        <v>235</v>
      </c>
      <c r="G6">
        <v>37.18</v>
      </c>
      <c r="H6">
        <v>0.49</v>
      </c>
      <c r="I6">
        <v>144</v>
      </c>
      <c r="J6">
        <v>79.55</v>
      </c>
      <c r="K6" t="b">
        <v>0</v>
      </c>
      <c r="L6">
        <v>2</v>
      </c>
      <c r="M6" t="s">
        <v>27</v>
      </c>
      <c r="N6">
        <v>17</v>
      </c>
      <c r="O6">
        <v>6</v>
      </c>
      <c r="P6">
        <v>237</v>
      </c>
      <c r="Q6" t="b">
        <v>0</v>
      </c>
      <c r="R6">
        <v>8.5106382978723403</v>
      </c>
      <c r="S6">
        <v>1008.5106382978699</v>
      </c>
      <c r="T6" t="s">
        <v>28</v>
      </c>
      <c r="U6">
        <v>0</v>
      </c>
      <c r="V6">
        <v>1</v>
      </c>
      <c r="W6">
        <v>1</v>
      </c>
    </row>
    <row r="7" spans="1:23">
      <c r="A7" s="1">
        <v>45306</v>
      </c>
      <c r="B7" t="s">
        <v>23</v>
      </c>
      <c r="C7" t="s">
        <v>42</v>
      </c>
      <c r="D7" t="s">
        <v>43</v>
      </c>
      <c r="E7" t="s">
        <v>34</v>
      </c>
      <c r="F7">
        <v>333</v>
      </c>
      <c r="G7">
        <v>20.68</v>
      </c>
      <c r="H7">
        <v>0.36599999999999999</v>
      </c>
      <c r="I7">
        <v>163</v>
      </c>
      <c r="J7">
        <v>32.89</v>
      </c>
      <c r="K7" t="b">
        <v>0</v>
      </c>
      <c r="L7">
        <v>3</v>
      </c>
      <c r="M7" t="s">
        <v>44</v>
      </c>
      <c r="N7">
        <v>13</v>
      </c>
      <c r="O7">
        <v>6</v>
      </c>
      <c r="P7">
        <v>229</v>
      </c>
      <c r="Q7" t="b">
        <v>0</v>
      </c>
      <c r="R7">
        <v>9.0090090090090094</v>
      </c>
      <c r="S7">
        <v>687.687687687687</v>
      </c>
      <c r="T7" t="s">
        <v>28</v>
      </c>
      <c r="U7">
        <v>1</v>
      </c>
      <c r="V7">
        <v>1</v>
      </c>
      <c r="W7">
        <v>1</v>
      </c>
    </row>
    <row r="8" spans="1:23">
      <c r="A8" s="1">
        <v>45306</v>
      </c>
      <c r="B8" t="s">
        <v>23</v>
      </c>
      <c r="C8" t="s">
        <v>45</v>
      </c>
      <c r="D8" t="s">
        <v>25</v>
      </c>
      <c r="E8" t="s">
        <v>38</v>
      </c>
      <c r="F8">
        <v>199</v>
      </c>
      <c r="G8">
        <v>8.76</v>
      </c>
      <c r="H8">
        <v>0.20399999999999999</v>
      </c>
      <c r="I8">
        <v>139</v>
      </c>
      <c r="J8">
        <v>36.61</v>
      </c>
      <c r="K8" t="b">
        <v>0</v>
      </c>
      <c r="L8">
        <v>1</v>
      </c>
      <c r="M8" t="s">
        <v>44</v>
      </c>
      <c r="N8">
        <v>14</v>
      </c>
      <c r="O8">
        <v>5</v>
      </c>
      <c r="P8">
        <v>192</v>
      </c>
      <c r="Q8" t="b">
        <v>0</v>
      </c>
      <c r="R8">
        <v>5.0251256281407004</v>
      </c>
      <c r="S8">
        <v>964.82412060301499</v>
      </c>
      <c r="T8" t="s">
        <v>27</v>
      </c>
      <c r="U8">
        <v>1</v>
      </c>
      <c r="V8">
        <v>1</v>
      </c>
      <c r="W8">
        <v>1</v>
      </c>
    </row>
    <row r="9" spans="1:23">
      <c r="A9" s="1">
        <v>45306</v>
      </c>
      <c r="B9" t="s">
        <v>23</v>
      </c>
      <c r="C9" t="s">
        <v>46</v>
      </c>
      <c r="D9" t="s">
        <v>30</v>
      </c>
      <c r="E9" t="s">
        <v>47</v>
      </c>
      <c r="F9">
        <v>104</v>
      </c>
      <c r="G9">
        <v>9.08</v>
      </c>
      <c r="H9">
        <v>0.63800000000000001</v>
      </c>
      <c r="I9">
        <v>90</v>
      </c>
      <c r="J9">
        <v>66.525000000000006</v>
      </c>
      <c r="K9" t="b">
        <v>0</v>
      </c>
      <c r="L9">
        <v>3</v>
      </c>
      <c r="M9" t="s">
        <v>27</v>
      </c>
      <c r="N9">
        <v>8</v>
      </c>
      <c r="O9">
        <v>3</v>
      </c>
      <c r="P9">
        <v>146</v>
      </c>
      <c r="Q9" t="b">
        <v>0</v>
      </c>
      <c r="R9">
        <v>28.846153846153801</v>
      </c>
      <c r="S9">
        <v>1403.8461538461499</v>
      </c>
      <c r="T9" t="s">
        <v>27</v>
      </c>
      <c r="U9">
        <v>0</v>
      </c>
      <c r="V9">
        <v>1</v>
      </c>
      <c r="W9">
        <v>1</v>
      </c>
    </row>
    <row r="10" spans="1:23">
      <c r="A10" s="1">
        <v>45306</v>
      </c>
      <c r="B10" t="s">
        <v>23</v>
      </c>
      <c r="C10" t="s">
        <v>48</v>
      </c>
      <c r="D10" t="s">
        <v>33</v>
      </c>
      <c r="E10" t="s">
        <v>34</v>
      </c>
      <c r="F10">
        <v>250</v>
      </c>
      <c r="G10">
        <v>18.86</v>
      </c>
      <c r="H10">
        <v>0.68300000000000005</v>
      </c>
      <c r="I10">
        <v>73</v>
      </c>
      <c r="J10">
        <v>98.75</v>
      </c>
      <c r="K10" t="b">
        <v>0</v>
      </c>
      <c r="L10">
        <v>0</v>
      </c>
      <c r="M10" t="s">
        <v>35</v>
      </c>
      <c r="N10">
        <v>8</v>
      </c>
      <c r="O10">
        <v>6</v>
      </c>
      <c r="P10">
        <v>121</v>
      </c>
      <c r="Q10" t="b">
        <v>0</v>
      </c>
      <c r="R10">
        <v>0</v>
      </c>
      <c r="S10">
        <v>484</v>
      </c>
      <c r="T10" t="s">
        <v>27</v>
      </c>
      <c r="U10">
        <v>0</v>
      </c>
      <c r="V10">
        <v>1</v>
      </c>
      <c r="W10">
        <v>1</v>
      </c>
    </row>
    <row r="11" spans="1:23">
      <c r="A11" s="1">
        <v>45306</v>
      </c>
      <c r="B11" t="s">
        <v>23</v>
      </c>
      <c r="C11" t="s">
        <v>49</v>
      </c>
      <c r="D11" t="s">
        <v>37</v>
      </c>
      <c r="E11" t="s">
        <v>38</v>
      </c>
      <c r="F11">
        <v>155</v>
      </c>
      <c r="G11">
        <v>37.369999999999997</v>
      </c>
      <c r="H11">
        <v>0.36099999999999999</v>
      </c>
      <c r="I11">
        <v>168</v>
      </c>
      <c r="J11">
        <v>63.81</v>
      </c>
      <c r="K11" t="b">
        <v>0</v>
      </c>
      <c r="L11">
        <v>4</v>
      </c>
      <c r="M11" t="s">
        <v>27</v>
      </c>
      <c r="N11">
        <v>12</v>
      </c>
      <c r="O11">
        <v>8</v>
      </c>
      <c r="P11">
        <v>242</v>
      </c>
      <c r="Q11" t="b">
        <v>0</v>
      </c>
      <c r="R11">
        <v>25.806451612903199</v>
      </c>
      <c r="S11">
        <v>1561.2903225806399</v>
      </c>
      <c r="T11" t="s">
        <v>28</v>
      </c>
      <c r="U11">
        <v>0</v>
      </c>
      <c r="V11">
        <v>1</v>
      </c>
      <c r="W11">
        <v>1</v>
      </c>
    </row>
    <row r="12" spans="1:23">
      <c r="A12" s="1">
        <v>45306</v>
      </c>
      <c r="B12" t="s">
        <v>23</v>
      </c>
      <c r="C12" t="s">
        <v>50</v>
      </c>
      <c r="D12" t="s">
        <v>41</v>
      </c>
      <c r="E12" t="s">
        <v>47</v>
      </c>
      <c r="F12">
        <v>346</v>
      </c>
      <c r="G12">
        <v>38.270000000000003</v>
      </c>
      <c r="H12">
        <v>0.42599999999999999</v>
      </c>
      <c r="I12">
        <v>14</v>
      </c>
      <c r="J12">
        <v>74.08</v>
      </c>
      <c r="K12" t="b">
        <v>0</v>
      </c>
      <c r="L12">
        <v>0</v>
      </c>
      <c r="M12" t="s">
        <v>35</v>
      </c>
      <c r="N12">
        <v>11</v>
      </c>
      <c r="O12">
        <v>5</v>
      </c>
      <c r="P12">
        <v>52</v>
      </c>
      <c r="Q12" t="b">
        <v>0</v>
      </c>
      <c r="R12">
        <v>0</v>
      </c>
      <c r="S12">
        <v>150.28901734103999</v>
      </c>
      <c r="T12" t="s">
        <v>28</v>
      </c>
      <c r="U12">
        <v>0</v>
      </c>
      <c r="V12">
        <v>1</v>
      </c>
      <c r="W12">
        <v>1</v>
      </c>
    </row>
    <row r="13" spans="1:23">
      <c r="A13" s="1">
        <v>45306</v>
      </c>
      <c r="B13" t="s">
        <v>23</v>
      </c>
      <c r="C13" t="s">
        <v>51</v>
      </c>
      <c r="D13" t="s">
        <v>43</v>
      </c>
      <c r="E13" t="s">
        <v>26</v>
      </c>
      <c r="F13">
        <v>166</v>
      </c>
      <c r="G13">
        <v>37.950000000000003</v>
      </c>
      <c r="H13">
        <v>0.216</v>
      </c>
      <c r="I13">
        <v>109</v>
      </c>
      <c r="J13">
        <v>66.66</v>
      </c>
      <c r="K13" t="b">
        <v>0</v>
      </c>
      <c r="L13">
        <v>0</v>
      </c>
      <c r="M13" t="s">
        <v>35</v>
      </c>
      <c r="N13">
        <v>11</v>
      </c>
      <c r="O13">
        <v>8</v>
      </c>
      <c r="P13">
        <v>116</v>
      </c>
      <c r="Q13" t="b">
        <v>0</v>
      </c>
      <c r="R13">
        <v>0</v>
      </c>
      <c r="S13">
        <v>698.79518072289102</v>
      </c>
      <c r="T13" t="s">
        <v>28</v>
      </c>
      <c r="U13">
        <v>0</v>
      </c>
      <c r="V13">
        <v>1</v>
      </c>
      <c r="W13">
        <v>1</v>
      </c>
    </row>
    <row r="14" spans="1:23">
      <c r="A14" s="1">
        <v>45306</v>
      </c>
      <c r="B14" t="s">
        <v>23</v>
      </c>
      <c r="C14" t="s">
        <v>52</v>
      </c>
      <c r="D14" t="s">
        <v>25</v>
      </c>
      <c r="E14" t="s">
        <v>38</v>
      </c>
      <c r="F14">
        <v>295</v>
      </c>
      <c r="G14">
        <v>16.649999999999999</v>
      </c>
      <c r="H14">
        <v>0.76</v>
      </c>
      <c r="I14">
        <v>110</v>
      </c>
      <c r="J14">
        <v>60.35</v>
      </c>
      <c r="K14" t="b">
        <v>0</v>
      </c>
      <c r="L14">
        <v>0</v>
      </c>
      <c r="M14" t="s">
        <v>35</v>
      </c>
      <c r="N14">
        <v>19</v>
      </c>
      <c r="O14">
        <v>5</v>
      </c>
      <c r="P14">
        <v>130</v>
      </c>
      <c r="Q14" t="b">
        <v>0</v>
      </c>
      <c r="R14">
        <v>0</v>
      </c>
      <c r="S14">
        <v>440.67796610169398</v>
      </c>
      <c r="T14" t="s">
        <v>27</v>
      </c>
      <c r="U14">
        <v>0</v>
      </c>
      <c r="V14">
        <v>1</v>
      </c>
      <c r="W14">
        <v>1</v>
      </c>
    </row>
    <row r="15" spans="1:23">
      <c r="A15" s="1">
        <v>45306</v>
      </c>
      <c r="B15" t="s">
        <v>23</v>
      </c>
      <c r="C15" t="s">
        <v>53</v>
      </c>
      <c r="D15" t="s">
        <v>30</v>
      </c>
      <c r="E15" t="s">
        <v>47</v>
      </c>
      <c r="F15">
        <v>105</v>
      </c>
      <c r="G15">
        <v>23.56</v>
      </c>
      <c r="H15">
        <v>0.58599999999999997</v>
      </c>
      <c r="I15">
        <v>173</v>
      </c>
      <c r="J15">
        <v>59.9</v>
      </c>
      <c r="K15" t="b">
        <v>0</v>
      </c>
      <c r="L15">
        <v>0</v>
      </c>
      <c r="M15" t="s">
        <v>35</v>
      </c>
      <c r="N15">
        <v>13</v>
      </c>
      <c r="O15">
        <v>12</v>
      </c>
      <c r="P15">
        <v>176</v>
      </c>
      <c r="Q15" t="b">
        <v>0</v>
      </c>
      <c r="R15">
        <v>0</v>
      </c>
      <c r="S15">
        <v>1676.19047619047</v>
      </c>
      <c r="T15" t="s">
        <v>28</v>
      </c>
      <c r="U15">
        <v>1</v>
      </c>
      <c r="V15">
        <v>1</v>
      </c>
      <c r="W15">
        <v>1</v>
      </c>
    </row>
    <row r="16" spans="1:23">
      <c r="A16" s="1">
        <v>45306</v>
      </c>
      <c r="B16" t="s">
        <v>23</v>
      </c>
      <c r="C16" t="s">
        <v>54</v>
      </c>
      <c r="D16" t="s">
        <v>33</v>
      </c>
      <c r="E16" t="s">
        <v>26</v>
      </c>
      <c r="F16">
        <v>513</v>
      </c>
      <c r="G16">
        <v>19.48</v>
      </c>
      <c r="H16">
        <v>0.313</v>
      </c>
      <c r="I16">
        <v>6</v>
      </c>
      <c r="J16">
        <v>50.74</v>
      </c>
      <c r="K16" t="b">
        <v>0</v>
      </c>
      <c r="L16">
        <v>0</v>
      </c>
      <c r="M16" t="s">
        <v>35</v>
      </c>
      <c r="N16">
        <v>5</v>
      </c>
      <c r="O16">
        <v>6</v>
      </c>
      <c r="P16">
        <v>18</v>
      </c>
      <c r="Q16" t="b">
        <v>0</v>
      </c>
      <c r="R16">
        <v>0</v>
      </c>
      <c r="S16">
        <v>35.087719298245602</v>
      </c>
      <c r="T16" t="s">
        <v>27</v>
      </c>
      <c r="U16">
        <v>1</v>
      </c>
      <c r="V16">
        <v>1</v>
      </c>
      <c r="W16">
        <v>1</v>
      </c>
    </row>
    <row r="17" spans="1:23">
      <c r="A17" s="1">
        <v>45306</v>
      </c>
      <c r="B17" t="s">
        <v>23</v>
      </c>
      <c r="C17" t="s">
        <v>55</v>
      </c>
      <c r="D17" t="s">
        <v>37</v>
      </c>
      <c r="E17" t="s">
        <v>31</v>
      </c>
      <c r="F17">
        <v>128</v>
      </c>
      <c r="G17">
        <v>27.88</v>
      </c>
      <c r="H17">
        <v>0.58499999999999996</v>
      </c>
      <c r="I17">
        <v>44</v>
      </c>
      <c r="J17">
        <v>95.45</v>
      </c>
      <c r="K17" t="b">
        <v>0</v>
      </c>
      <c r="L17">
        <v>0</v>
      </c>
      <c r="M17" t="s">
        <v>35</v>
      </c>
      <c r="N17">
        <v>13</v>
      </c>
      <c r="O17">
        <v>3</v>
      </c>
      <c r="P17">
        <v>70</v>
      </c>
      <c r="Q17" t="b">
        <v>0</v>
      </c>
      <c r="R17">
        <v>0</v>
      </c>
      <c r="S17">
        <v>546.875</v>
      </c>
      <c r="T17" t="s">
        <v>28</v>
      </c>
      <c r="U17">
        <v>0</v>
      </c>
      <c r="V17">
        <v>1</v>
      </c>
      <c r="W17">
        <v>1</v>
      </c>
    </row>
    <row r="18" spans="1:23">
      <c r="A18" s="1">
        <v>45306</v>
      </c>
      <c r="B18" t="s">
        <v>23</v>
      </c>
      <c r="C18" t="s">
        <v>56</v>
      </c>
      <c r="D18" t="s">
        <v>41</v>
      </c>
      <c r="E18" t="s">
        <v>47</v>
      </c>
      <c r="F18">
        <v>146</v>
      </c>
      <c r="G18">
        <v>30.36</v>
      </c>
      <c r="H18">
        <v>0.56100000000000005</v>
      </c>
      <c r="I18">
        <v>32</v>
      </c>
      <c r="J18">
        <v>87.13</v>
      </c>
      <c r="K18" t="b">
        <v>0</v>
      </c>
      <c r="L18">
        <v>1</v>
      </c>
      <c r="M18" t="s">
        <v>39</v>
      </c>
      <c r="N18">
        <v>10</v>
      </c>
      <c r="O18">
        <v>1</v>
      </c>
      <c r="P18">
        <v>50</v>
      </c>
      <c r="Q18" t="b">
        <v>0</v>
      </c>
      <c r="R18">
        <v>6.8493150684931496</v>
      </c>
      <c r="S18">
        <v>342.46575342465701</v>
      </c>
      <c r="T18" t="s">
        <v>28</v>
      </c>
      <c r="U18">
        <v>0</v>
      </c>
      <c r="V18">
        <v>1</v>
      </c>
      <c r="W18">
        <v>1</v>
      </c>
    </row>
    <row r="19" spans="1:23">
      <c r="A19" s="1">
        <v>45306</v>
      </c>
      <c r="B19" t="s">
        <v>23</v>
      </c>
      <c r="C19" t="s">
        <v>57</v>
      </c>
      <c r="D19" t="s">
        <v>43</v>
      </c>
      <c r="E19" t="s">
        <v>26</v>
      </c>
      <c r="F19">
        <v>243</v>
      </c>
      <c r="G19">
        <v>10.75</v>
      </c>
      <c r="H19">
        <v>0.108</v>
      </c>
      <c r="I19">
        <v>109</v>
      </c>
      <c r="J19">
        <v>32.020000000000003</v>
      </c>
      <c r="K19" t="b">
        <v>0</v>
      </c>
      <c r="L19">
        <v>0</v>
      </c>
      <c r="M19" t="s">
        <v>35</v>
      </c>
      <c r="N19">
        <v>9</v>
      </c>
      <c r="O19">
        <v>7</v>
      </c>
      <c r="P19">
        <v>173</v>
      </c>
      <c r="Q19" t="b">
        <v>0</v>
      </c>
      <c r="R19">
        <v>0</v>
      </c>
      <c r="S19">
        <v>711.93415637860005</v>
      </c>
      <c r="T19" t="s">
        <v>27</v>
      </c>
      <c r="U19">
        <v>1</v>
      </c>
      <c r="V19">
        <v>1</v>
      </c>
      <c r="W19">
        <v>1</v>
      </c>
    </row>
    <row r="20" spans="1:23">
      <c r="A20" s="1">
        <v>45306</v>
      </c>
      <c r="B20" t="s">
        <v>23</v>
      </c>
      <c r="C20" t="s">
        <v>58</v>
      </c>
      <c r="D20" t="s">
        <v>25</v>
      </c>
      <c r="E20" t="s">
        <v>31</v>
      </c>
      <c r="F20">
        <v>725</v>
      </c>
      <c r="G20">
        <v>38.64</v>
      </c>
      <c r="H20">
        <v>0.30099999999999999</v>
      </c>
      <c r="I20">
        <v>122</v>
      </c>
      <c r="J20">
        <v>44.8</v>
      </c>
      <c r="K20" t="b">
        <v>0</v>
      </c>
      <c r="L20">
        <v>3</v>
      </c>
      <c r="M20" t="s">
        <v>35</v>
      </c>
      <c r="N20">
        <v>13</v>
      </c>
      <c r="O20">
        <v>2</v>
      </c>
      <c r="P20">
        <v>214</v>
      </c>
      <c r="Q20" t="b">
        <v>0</v>
      </c>
      <c r="R20">
        <v>4.13793103448275</v>
      </c>
      <c r="S20">
        <v>295.17241379310298</v>
      </c>
      <c r="T20" t="s">
        <v>28</v>
      </c>
      <c r="U20">
        <v>1</v>
      </c>
      <c r="V20">
        <v>1</v>
      </c>
      <c r="W20">
        <v>1</v>
      </c>
    </row>
    <row r="21" spans="1:23">
      <c r="A21" s="1">
        <v>45306</v>
      </c>
      <c r="B21" t="s">
        <v>23</v>
      </c>
      <c r="C21" t="s">
        <v>59</v>
      </c>
      <c r="D21" t="s">
        <v>30</v>
      </c>
      <c r="E21" t="s">
        <v>34</v>
      </c>
      <c r="F21">
        <v>193</v>
      </c>
      <c r="G21">
        <v>27.93</v>
      </c>
      <c r="H21">
        <v>0.121</v>
      </c>
      <c r="I21">
        <v>60</v>
      </c>
      <c r="J21">
        <v>71.12</v>
      </c>
      <c r="K21" t="b">
        <v>0</v>
      </c>
      <c r="L21">
        <v>2</v>
      </c>
      <c r="M21" t="s">
        <v>27</v>
      </c>
      <c r="N21">
        <v>8</v>
      </c>
      <c r="O21">
        <v>9</v>
      </c>
      <c r="P21">
        <v>89</v>
      </c>
      <c r="Q21" t="b">
        <v>0</v>
      </c>
      <c r="R21">
        <v>10.3626943005181</v>
      </c>
      <c r="S21">
        <v>461.13989637305599</v>
      </c>
      <c r="T21" t="s">
        <v>28</v>
      </c>
      <c r="U21">
        <v>0</v>
      </c>
      <c r="V21">
        <v>1</v>
      </c>
      <c r="W21">
        <v>1</v>
      </c>
    </row>
    <row r="22" spans="1:23">
      <c r="A22" s="1">
        <v>45306</v>
      </c>
      <c r="B22" t="s">
        <v>23</v>
      </c>
      <c r="C22" t="s">
        <v>60</v>
      </c>
      <c r="D22" t="s">
        <v>33</v>
      </c>
      <c r="E22" t="s">
        <v>26</v>
      </c>
      <c r="F22">
        <v>225</v>
      </c>
      <c r="G22">
        <v>33.950000000000003</v>
      </c>
      <c r="H22">
        <v>0.60299999999999998</v>
      </c>
      <c r="I22">
        <v>148</v>
      </c>
      <c r="J22">
        <v>48.96</v>
      </c>
      <c r="K22" t="b">
        <v>0</v>
      </c>
      <c r="L22">
        <v>1</v>
      </c>
      <c r="M22" t="s">
        <v>27</v>
      </c>
      <c r="N22">
        <v>18</v>
      </c>
      <c r="O22">
        <v>9</v>
      </c>
      <c r="P22">
        <v>256</v>
      </c>
      <c r="Q22" t="b">
        <v>0</v>
      </c>
      <c r="R22">
        <v>4.4444444444444402</v>
      </c>
      <c r="S22">
        <v>1137.7777777777701</v>
      </c>
      <c r="T22" t="s">
        <v>28</v>
      </c>
      <c r="U22">
        <v>1</v>
      </c>
      <c r="V22">
        <v>1</v>
      </c>
      <c r="W22">
        <v>1</v>
      </c>
    </row>
    <row r="23" spans="1:23">
      <c r="A23" s="1">
        <v>45306</v>
      </c>
      <c r="B23" t="s">
        <v>23</v>
      </c>
      <c r="C23" t="s">
        <v>61</v>
      </c>
      <c r="D23" t="s">
        <v>37</v>
      </c>
      <c r="E23" t="s">
        <v>31</v>
      </c>
      <c r="F23">
        <v>80</v>
      </c>
      <c r="G23">
        <v>32.25</v>
      </c>
      <c r="H23">
        <v>0.76300000000000001</v>
      </c>
      <c r="I23">
        <v>91</v>
      </c>
      <c r="J23">
        <v>47.27</v>
      </c>
      <c r="K23" t="b">
        <v>0</v>
      </c>
      <c r="L23">
        <v>1</v>
      </c>
      <c r="M23" t="s">
        <v>27</v>
      </c>
      <c r="N23">
        <v>7</v>
      </c>
      <c r="O23">
        <v>6</v>
      </c>
      <c r="P23">
        <v>69</v>
      </c>
      <c r="Q23" t="b">
        <v>0</v>
      </c>
      <c r="R23">
        <v>12.5</v>
      </c>
      <c r="S23">
        <v>862.5</v>
      </c>
      <c r="T23" t="s">
        <v>28</v>
      </c>
      <c r="U23">
        <v>1</v>
      </c>
      <c r="V23">
        <v>1</v>
      </c>
      <c r="W23">
        <v>1</v>
      </c>
    </row>
    <row r="24" spans="1:23">
      <c r="A24" s="1">
        <v>45306</v>
      </c>
      <c r="B24" t="s">
        <v>23</v>
      </c>
      <c r="C24" t="s">
        <v>62</v>
      </c>
      <c r="D24" t="s">
        <v>41</v>
      </c>
      <c r="E24" t="s">
        <v>34</v>
      </c>
      <c r="F24">
        <v>331</v>
      </c>
      <c r="G24">
        <v>18.239999999999998</v>
      </c>
      <c r="H24">
        <v>0.66300000000000003</v>
      </c>
      <c r="I24">
        <v>157</v>
      </c>
      <c r="J24">
        <v>45.44</v>
      </c>
      <c r="K24" t="b">
        <v>0</v>
      </c>
      <c r="L24">
        <v>0</v>
      </c>
      <c r="M24" t="s">
        <v>35</v>
      </c>
      <c r="N24">
        <v>16</v>
      </c>
      <c r="O24">
        <v>5</v>
      </c>
      <c r="P24">
        <v>240</v>
      </c>
      <c r="Q24" t="b">
        <v>0</v>
      </c>
      <c r="R24">
        <v>0</v>
      </c>
      <c r="S24">
        <v>725.07552870090603</v>
      </c>
      <c r="T24" t="s">
        <v>27</v>
      </c>
      <c r="U24">
        <v>1</v>
      </c>
      <c r="V24">
        <v>1</v>
      </c>
      <c r="W24">
        <v>1</v>
      </c>
    </row>
    <row r="25" spans="1:23">
      <c r="A25" s="1">
        <v>45306</v>
      </c>
      <c r="B25" t="s">
        <v>23</v>
      </c>
      <c r="C25" t="s">
        <v>63</v>
      </c>
      <c r="D25" t="s">
        <v>43</v>
      </c>
      <c r="E25" t="s">
        <v>38</v>
      </c>
      <c r="F25">
        <v>168</v>
      </c>
      <c r="G25">
        <v>31.88</v>
      </c>
      <c r="H25">
        <v>0.124</v>
      </c>
      <c r="I25">
        <v>49</v>
      </c>
      <c r="J25">
        <v>65.540000000000006</v>
      </c>
      <c r="K25" t="b">
        <v>0</v>
      </c>
      <c r="L25">
        <v>0</v>
      </c>
      <c r="M25" t="s">
        <v>35</v>
      </c>
      <c r="N25">
        <v>15</v>
      </c>
      <c r="O25">
        <v>9</v>
      </c>
      <c r="P25">
        <v>94</v>
      </c>
      <c r="Q25" t="b">
        <v>0</v>
      </c>
      <c r="R25">
        <v>0</v>
      </c>
      <c r="S25">
        <v>559.52380952380895</v>
      </c>
      <c r="T25" t="s">
        <v>28</v>
      </c>
      <c r="U25">
        <v>0</v>
      </c>
      <c r="V25">
        <v>1</v>
      </c>
      <c r="W25">
        <v>1</v>
      </c>
    </row>
    <row r="26" spans="1:23">
      <c r="A26" s="1">
        <v>45306</v>
      </c>
      <c r="B26" t="s">
        <v>23</v>
      </c>
      <c r="C26" t="s">
        <v>64</v>
      </c>
      <c r="D26" t="s">
        <v>25</v>
      </c>
      <c r="E26" t="s">
        <v>31</v>
      </c>
      <c r="F26">
        <v>292</v>
      </c>
      <c r="G26">
        <v>10.66</v>
      </c>
      <c r="H26">
        <v>0.13</v>
      </c>
      <c r="I26">
        <v>0</v>
      </c>
      <c r="J26">
        <v>53.8</v>
      </c>
      <c r="K26" t="b">
        <v>0</v>
      </c>
      <c r="L26">
        <v>0</v>
      </c>
      <c r="M26" t="s">
        <v>35</v>
      </c>
      <c r="N26">
        <v>8</v>
      </c>
      <c r="O26">
        <v>1</v>
      </c>
      <c r="P26">
        <v>1</v>
      </c>
      <c r="Q26" t="b">
        <v>0</v>
      </c>
      <c r="R26">
        <v>0</v>
      </c>
      <c r="S26">
        <v>3.4246575342465699</v>
      </c>
      <c r="T26" t="s">
        <v>27</v>
      </c>
      <c r="U26">
        <v>1</v>
      </c>
      <c r="V26">
        <v>1</v>
      </c>
      <c r="W26">
        <v>1</v>
      </c>
    </row>
    <row r="27" spans="1:23">
      <c r="A27" s="1">
        <v>45306</v>
      </c>
      <c r="B27" t="s">
        <v>23</v>
      </c>
      <c r="C27" t="s">
        <v>65</v>
      </c>
      <c r="D27" t="s">
        <v>30</v>
      </c>
      <c r="E27" t="s">
        <v>34</v>
      </c>
      <c r="F27">
        <v>521</v>
      </c>
      <c r="G27">
        <v>24.24</v>
      </c>
      <c r="H27">
        <v>0.33800000000000002</v>
      </c>
      <c r="I27">
        <v>73</v>
      </c>
      <c r="J27">
        <v>79.08</v>
      </c>
      <c r="K27" t="b">
        <v>0</v>
      </c>
      <c r="L27">
        <v>0</v>
      </c>
      <c r="M27" t="s">
        <v>35</v>
      </c>
      <c r="N27">
        <v>6</v>
      </c>
      <c r="O27">
        <v>9</v>
      </c>
      <c r="P27">
        <v>111</v>
      </c>
      <c r="Q27" t="b">
        <v>0</v>
      </c>
      <c r="R27">
        <v>0</v>
      </c>
      <c r="S27">
        <v>213.05182341650601</v>
      </c>
      <c r="T27" t="s">
        <v>28</v>
      </c>
      <c r="U27">
        <v>0</v>
      </c>
      <c r="V27">
        <v>1</v>
      </c>
      <c r="W27">
        <v>1</v>
      </c>
    </row>
    <row r="28" spans="1:23">
      <c r="A28" s="1">
        <v>45306</v>
      </c>
      <c r="B28" t="s">
        <v>23</v>
      </c>
      <c r="C28" t="s">
        <v>66</v>
      </c>
      <c r="D28" t="s">
        <v>33</v>
      </c>
      <c r="E28" t="s">
        <v>38</v>
      </c>
      <c r="F28">
        <v>80</v>
      </c>
      <c r="G28">
        <v>45.06</v>
      </c>
      <c r="H28">
        <v>0.248</v>
      </c>
      <c r="I28">
        <v>172</v>
      </c>
      <c r="J28">
        <v>59.12</v>
      </c>
      <c r="K28" t="b">
        <v>0</v>
      </c>
      <c r="L28">
        <v>3</v>
      </c>
      <c r="M28" t="s">
        <v>28</v>
      </c>
      <c r="N28">
        <v>17</v>
      </c>
      <c r="O28">
        <v>1</v>
      </c>
      <c r="P28">
        <v>288</v>
      </c>
      <c r="Q28" t="b">
        <v>0</v>
      </c>
      <c r="R28">
        <v>37.5</v>
      </c>
      <c r="S28">
        <v>3600</v>
      </c>
      <c r="T28" t="s">
        <v>39</v>
      </c>
      <c r="U28">
        <v>1</v>
      </c>
      <c r="V28">
        <v>1</v>
      </c>
      <c r="W28">
        <v>1</v>
      </c>
    </row>
    <row r="29" spans="1:23">
      <c r="A29" s="1">
        <v>45306</v>
      </c>
      <c r="B29" t="s">
        <v>23</v>
      </c>
      <c r="C29" t="s">
        <v>67</v>
      </c>
      <c r="D29" t="s">
        <v>37</v>
      </c>
      <c r="E29" t="s">
        <v>47</v>
      </c>
      <c r="F29">
        <v>166</v>
      </c>
      <c r="G29">
        <v>9.9499999999999993</v>
      </c>
      <c r="H29">
        <v>0.50600000000000001</v>
      </c>
      <c r="I29">
        <v>81</v>
      </c>
      <c r="J29">
        <v>77.37</v>
      </c>
      <c r="K29" t="b">
        <v>0</v>
      </c>
      <c r="L29">
        <v>0</v>
      </c>
      <c r="M29" t="s">
        <v>35</v>
      </c>
      <c r="N29">
        <v>12</v>
      </c>
      <c r="O29">
        <v>3</v>
      </c>
      <c r="P29">
        <v>106</v>
      </c>
      <c r="Q29" t="b">
        <v>0</v>
      </c>
      <c r="R29">
        <v>0</v>
      </c>
      <c r="S29">
        <v>638.55421686746899</v>
      </c>
      <c r="T29" t="s">
        <v>27</v>
      </c>
      <c r="U29">
        <v>0</v>
      </c>
      <c r="V29">
        <v>1</v>
      </c>
      <c r="W29">
        <v>1</v>
      </c>
    </row>
    <row r="30" spans="1:23">
      <c r="A30" s="1">
        <v>45306</v>
      </c>
      <c r="B30" t="s">
        <v>23</v>
      </c>
      <c r="C30" t="s">
        <v>68</v>
      </c>
      <c r="D30" t="s">
        <v>41</v>
      </c>
      <c r="E30" t="s">
        <v>34</v>
      </c>
      <c r="F30">
        <v>391</v>
      </c>
      <c r="G30">
        <v>27.39</v>
      </c>
      <c r="H30">
        <v>0.443</v>
      </c>
      <c r="I30">
        <v>10</v>
      </c>
      <c r="J30">
        <v>94.52</v>
      </c>
      <c r="K30" t="b">
        <v>0</v>
      </c>
      <c r="L30">
        <v>0</v>
      </c>
      <c r="M30" t="s">
        <v>35</v>
      </c>
      <c r="N30">
        <v>6</v>
      </c>
      <c r="O30">
        <v>13</v>
      </c>
      <c r="P30">
        <v>38</v>
      </c>
      <c r="Q30" t="b">
        <v>0</v>
      </c>
      <c r="R30">
        <v>0</v>
      </c>
      <c r="S30">
        <v>97.186700767263403</v>
      </c>
      <c r="T30" t="s">
        <v>28</v>
      </c>
      <c r="U30">
        <v>0</v>
      </c>
      <c r="V30">
        <v>1</v>
      </c>
      <c r="W30">
        <v>1</v>
      </c>
    </row>
    <row r="31" spans="1:23">
      <c r="A31" s="1">
        <v>45306</v>
      </c>
      <c r="B31" t="s">
        <v>23</v>
      </c>
      <c r="C31" t="s">
        <v>69</v>
      </c>
      <c r="D31" t="s">
        <v>43</v>
      </c>
      <c r="E31" t="s">
        <v>38</v>
      </c>
      <c r="F31">
        <v>432</v>
      </c>
      <c r="G31">
        <v>40.42</v>
      </c>
      <c r="H31">
        <v>0.58399999999999996</v>
      </c>
      <c r="I31">
        <v>140</v>
      </c>
      <c r="J31">
        <v>87.38</v>
      </c>
      <c r="K31" t="b">
        <v>0</v>
      </c>
      <c r="L31">
        <v>0</v>
      </c>
      <c r="M31" t="s">
        <v>35</v>
      </c>
      <c r="N31">
        <v>10</v>
      </c>
      <c r="O31">
        <v>5</v>
      </c>
      <c r="P31">
        <v>173</v>
      </c>
      <c r="Q31" t="b">
        <v>0</v>
      </c>
      <c r="R31">
        <v>0</v>
      </c>
      <c r="S31">
        <v>400.46296296296299</v>
      </c>
      <c r="T31" t="s">
        <v>39</v>
      </c>
      <c r="U31">
        <v>0</v>
      </c>
      <c r="V31">
        <v>1</v>
      </c>
      <c r="W31">
        <v>1</v>
      </c>
    </row>
    <row r="32" spans="1:23">
      <c r="A32" s="1">
        <v>45306</v>
      </c>
      <c r="B32" t="s">
        <v>23</v>
      </c>
      <c r="C32" t="s">
        <v>70</v>
      </c>
      <c r="D32" t="s">
        <v>25</v>
      </c>
      <c r="E32" t="s">
        <v>47</v>
      </c>
      <c r="F32">
        <v>246</v>
      </c>
      <c r="G32">
        <v>17.64</v>
      </c>
      <c r="H32">
        <v>0.79700000000000004</v>
      </c>
      <c r="I32">
        <v>123</v>
      </c>
      <c r="J32">
        <v>86.37</v>
      </c>
      <c r="K32" t="b">
        <v>0</v>
      </c>
      <c r="L32">
        <v>1</v>
      </c>
      <c r="M32" t="s">
        <v>27</v>
      </c>
      <c r="N32">
        <v>11</v>
      </c>
      <c r="O32">
        <v>10</v>
      </c>
      <c r="P32">
        <v>192</v>
      </c>
      <c r="Q32" t="b">
        <v>0</v>
      </c>
      <c r="R32">
        <v>4.0650406504065</v>
      </c>
      <c r="S32">
        <v>780.487804878048</v>
      </c>
      <c r="T32" t="s">
        <v>27</v>
      </c>
      <c r="U32">
        <v>0</v>
      </c>
      <c r="V32">
        <v>1</v>
      </c>
      <c r="W32">
        <v>1</v>
      </c>
    </row>
    <row r="33" spans="1:23">
      <c r="A33" s="1">
        <v>45306</v>
      </c>
      <c r="B33" t="s">
        <v>23</v>
      </c>
      <c r="C33" t="s">
        <v>71</v>
      </c>
      <c r="D33" t="s">
        <v>30</v>
      </c>
      <c r="E33" t="s">
        <v>26</v>
      </c>
      <c r="F33">
        <v>116</v>
      </c>
      <c r="G33">
        <v>42.7</v>
      </c>
      <c r="H33">
        <v>0.81100000000000005</v>
      </c>
      <c r="I33">
        <v>21</v>
      </c>
      <c r="J33">
        <v>65.69</v>
      </c>
      <c r="K33" t="b">
        <v>0</v>
      </c>
      <c r="L33">
        <v>1</v>
      </c>
      <c r="M33" t="s">
        <v>39</v>
      </c>
      <c r="N33">
        <v>13</v>
      </c>
      <c r="O33">
        <v>9</v>
      </c>
      <c r="P33">
        <v>39</v>
      </c>
      <c r="Q33" t="b">
        <v>0</v>
      </c>
      <c r="R33">
        <v>8.6206896551724093</v>
      </c>
      <c r="S33">
        <v>336.20689655172401</v>
      </c>
      <c r="T33" t="s">
        <v>39</v>
      </c>
      <c r="U33">
        <v>0</v>
      </c>
      <c r="V33">
        <v>1</v>
      </c>
      <c r="W33">
        <v>1</v>
      </c>
    </row>
    <row r="34" spans="1:23">
      <c r="A34" s="1">
        <v>45306</v>
      </c>
      <c r="B34" t="s">
        <v>23</v>
      </c>
      <c r="C34" t="s">
        <v>72</v>
      </c>
      <c r="D34" t="s">
        <v>33</v>
      </c>
      <c r="E34" t="s">
        <v>38</v>
      </c>
      <c r="F34">
        <v>128</v>
      </c>
      <c r="G34">
        <v>45.18</v>
      </c>
      <c r="H34">
        <v>0.23799999999999999</v>
      </c>
      <c r="I34">
        <v>84</v>
      </c>
      <c r="J34">
        <v>93.07</v>
      </c>
      <c r="K34" t="b">
        <v>0</v>
      </c>
      <c r="L34">
        <v>0</v>
      </c>
      <c r="M34" t="s">
        <v>35</v>
      </c>
      <c r="N34">
        <v>8</v>
      </c>
      <c r="O34">
        <v>1</v>
      </c>
      <c r="P34">
        <v>100</v>
      </c>
      <c r="Q34" t="b">
        <v>0</v>
      </c>
      <c r="R34">
        <v>0</v>
      </c>
      <c r="S34">
        <v>781.25</v>
      </c>
      <c r="T34" t="s">
        <v>39</v>
      </c>
      <c r="U34">
        <v>0</v>
      </c>
      <c r="V34">
        <v>1</v>
      </c>
      <c r="W34">
        <v>1</v>
      </c>
    </row>
    <row r="35" spans="1:23">
      <c r="A35" s="1">
        <v>45306</v>
      </c>
      <c r="B35" t="s">
        <v>23</v>
      </c>
      <c r="C35" t="s">
        <v>73</v>
      </c>
      <c r="D35" t="s">
        <v>37</v>
      </c>
      <c r="E35" t="s">
        <v>47</v>
      </c>
      <c r="F35">
        <v>132</v>
      </c>
      <c r="G35">
        <v>6.16</v>
      </c>
      <c r="H35">
        <v>0.73199999999999998</v>
      </c>
      <c r="I35">
        <v>124</v>
      </c>
      <c r="J35">
        <v>56.35</v>
      </c>
      <c r="K35" t="b">
        <v>0</v>
      </c>
      <c r="L35">
        <v>0</v>
      </c>
      <c r="M35" t="s">
        <v>35</v>
      </c>
      <c r="N35">
        <v>11</v>
      </c>
      <c r="O35">
        <v>4</v>
      </c>
      <c r="P35">
        <v>123</v>
      </c>
      <c r="Q35" t="b">
        <v>0</v>
      </c>
      <c r="R35">
        <v>0</v>
      </c>
      <c r="S35">
        <v>931.81818181818096</v>
      </c>
      <c r="T35" t="s">
        <v>27</v>
      </c>
      <c r="U35">
        <v>1</v>
      </c>
      <c r="V35">
        <v>1</v>
      </c>
      <c r="W35">
        <v>1</v>
      </c>
    </row>
    <row r="36" spans="1:23">
      <c r="A36" s="1">
        <v>45306</v>
      </c>
      <c r="B36" t="s">
        <v>23</v>
      </c>
      <c r="C36" t="s">
        <v>74</v>
      </c>
      <c r="D36" t="s">
        <v>41</v>
      </c>
      <c r="E36" t="s">
        <v>26</v>
      </c>
      <c r="F36">
        <v>225</v>
      </c>
      <c r="G36">
        <v>27.57</v>
      </c>
      <c r="H36">
        <v>0.78800000000000003</v>
      </c>
      <c r="I36">
        <v>88</v>
      </c>
      <c r="J36">
        <v>74.02</v>
      </c>
      <c r="K36" t="b">
        <v>0</v>
      </c>
      <c r="L36">
        <v>1</v>
      </c>
      <c r="M36" t="s">
        <v>39</v>
      </c>
      <c r="N36">
        <v>9</v>
      </c>
      <c r="O36">
        <v>4</v>
      </c>
      <c r="P36">
        <v>35</v>
      </c>
      <c r="Q36" t="b">
        <v>0</v>
      </c>
      <c r="R36">
        <v>4.4444444444444402</v>
      </c>
      <c r="S36">
        <v>155.555555555555</v>
      </c>
      <c r="T36" t="s">
        <v>28</v>
      </c>
      <c r="U36">
        <v>0</v>
      </c>
      <c r="V36">
        <v>1</v>
      </c>
      <c r="W36">
        <v>1</v>
      </c>
    </row>
    <row r="37" spans="1:23">
      <c r="A37" s="1">
        <v>45306</v>
      </c>
      <c r="B37" t="s">
        <v>23</v>
      </c>
      <c r="C37" t="s">
        <v>75</v>
      </c>
      <c r="D37" t="s">
        <v>43</v>
      </c>
      <c r="E37" t="s">
        <v>31</v>
      </c>
      <c r="F37">
        <v>262</v>
      </c>
      <c r="G37">
        <v>31.215</v>
      </c>
      <c r="H37">
        <v>0.58599999999999997</v>
      </c>
      <c r="I37">
        <v>137</v>
      </c>
      <c r="J37">
        <v>65.099999999999994</v>
      </c>
      <c r="K37" t="b">
        <v>0</v>
      </c>
      <c r="L37">
        <v>1</v>
      </c>
      <c r="M37" t="s">
        <v>28</v>
      </c>
      <c r="N37">
        <v>11</v>
      </c>
      <c r="O37">
        <v>5</v>
      </c>
      <c r="P37">
        <v>213</v>
      </c>
      <c r="Q37" t="b">
        <v>0</v>
      </c>
      <c r="R37">
        <v>3.8167938931297698</v>
      </c>
      <c r="S37">
        <v>812.97709923664104</v>
      </c>
      <c r="T37" t="s">
        <v>28</v>
      </c>
      <c r="U37">
        <v>0</v>
      </c>
      <c r="V37">
        <v>1</v>
      </c>
      <c r="W37">
        <v>1</v>
      </c>
    </row>
    <row r="38" spans="1:23">
      <c r="A38" s="1">
        <v>45306</v>
      </c>
      <c r="B38" t="s">
        <v>23</v>
      </c>
      <c r="C38" t="s">
        <v>76</v>
      </c>
      <c r="D38" t="s">
        <v>25</v>
      </c>
      <c r="E38" t="s">
        <v>47</v>
      </c>
      <c r="F38">
        <v>220</v>
      </c>
      <c r="G38">
        <v>23.13</v>
      </c>
      <c r="H38">
        <v>0.19900000000000001</v>
      </c>
      <c r="I38">
        <v>59</v>
      </c>
      <c r="J38">
        <v>47.77</v>
      </c>
      <c r="K38" t="b">
        <v>0</v>
      </c>
      <c r="L38">
        <v>1</v>
      </c>
      <c r="M38" t="s">
        <v>39</v>
      </c>
      <c r="N38">
        <v>14</v>
      </c>
      <c r="O38">
        <v>1</v>
      </c>
      <c r="P38">
        <v>127</v>
      </c>
      <c r="Q38" t="b">
        <v>0</v>
      </c>
      <c r="R38">
        <v>4.5454545454545396</v>
      </c>
      <c r="S38">
        <v>577.27272727272702</v>
      </c>
      <c r="T38" t="s">
        <v>28</v>
      </c>
      <c r="U38">
        <v>1</v>
      </c>
      <c r="V38">
        <v>1</v>
      </c>
      <c r="W38">
        <v>1</v>
      </c>
    </row>
    <row r="39" spans="1:23">
      <c r="A39" s="1">
        <v>45306</v>
      </c>
      <c r="B39" t="s">
        <v>23</v>
      </c>
      <c r="C39" t="s">
        <v>77</v>
      </c>
      <c r="D39" t="s">
        <v>30</v>
      </c>
      <c r="E39" t="s">
        <v>26</v>
      </c>
      <c r="F39">
        <v>217</v>
      </c>
      <c r="G39">
        <v>22.92</v>
      </c>
      <c r="H39">
        <v>0.182</v>
      </c>
      <c r="I39">
        <v>95</v>
      </c>
      <c r="J39">
        <v>34.24</v>
      </c>
      <c r="K39" t="b">
        <v>0</v>
      </c>
      <c r="L39">
        <v>0</v>
      </c>
      <c r="M39" t="s">
        <v>35</v>
      </c>
      <c r="N39">
        <v>14</v>
      </c>
      <c r="O39">
        <v>7</v>
      </c>
      <c r="P39">
        <v>112</v>
      </c>
      <c r="Q39" t="b">
        <v>0</v>
      </c>
      <c r="R39">
        <v>0</v>
      </c>
      <c r="S39">
        <v>516.12903225806394</v>
      </c>
      <c r="T39" t="s">
        <v>28</v>
      </c>
      <c r="U39">
        <v>1</v>
      </c>
      <c r="V39">
        <v>1</v>
      </c>
      <c r="W39">
        <v>1</v>
      </c>
    </row>
    <row r="40" spans="1:23">
      <c r="A40" s="1">
        <v>45306</v>
      </c>
      <c r="B40" t="s">
        <v>23</v>
      </c>
      <c r="C40" t="s">
        <v>78</v>
      </c>
      <c r="D40" t="s">
        <v>33</v>
      </c>
      <c r="E40" t="s">
        <v>31</v>
      </c>
      <c r="F40">
        <v>243</v>
      </c>
      <c r="G40">
        <v>28.18</v>
      </c>
      <c r="H40">
        <v>0.63</v>
      </c>
      <c r="I40">
        <v>95</v>
      </c>
      <c r="J40">
        <v>85.95</v>
      </c>
      <c r="K40" t="b">
        <v>0</v>
      </c>
      <c r="L40">
        <v>1</v>
      </c>
      <c r="M40" t="s">
        <v>27</v>
      </c>
      <c r="N40">
        <v>11</v>
      </c>
      <c r="O40">
        <v>6</v>
      </c>
      <c r="P40">
        <v>178</v>
      </c>
      <c r="Q40" t="b">
        <v>0</v>
      </c>
      <c r="R40">
        <v>4.1152263374485596</v>
      </c>
      <c r="S40">
        <v>732.51028806584304</v>
      </c>
      <c r="T40" t="s">
        <v>28</v>
      </c>
      <c r="U40">
        <v>0</v>
      </c>
      <c r="V40">
        <v>1</v>
      </c>
      <c r="W40">
        <v>1</v>
      </c>
    </row>
    <row r="41" spans="1:23">
      <c r="A41" s="1">
        <v>45306</v>
      </c>
      <c r="B41" t="s">
        <v>23</v>
      </c>
      <c r="C41" t="s">
        <v>79</v>
      </c>
      <c r="D41" t="s">
        <v>37</v>
      </c>
      <c r="E41" t="s">
        <v>34</v>
      </c>
      <c r="F41">
        <v>129</v>
      </c>
      <c r="G41">
        <v>33.61</v>
      </c>
      <c r="H41">
        <v>0.21</v>
      </c>
      <c r="I41">
        <v>0</v>
      </c>
      <c r="J41">
        <v>86.03</v>
      </c>
      <c r="K41" t="b">
        <v>0</v>
      </c>
      <c r="L41">
        <v>0</v>
      </c>
      <c r="M41" t="s">
        <v>35</v>
      </c>
      <c r="N41">
        <v>9</v>
      </c>
      <c r="O41">
        <v>6</v>
      </c>
      <c r="P41">
        <v>1</v>
      </c>
      <c r="Q41" t="b">
        <v>0</v>
      </c>
      <c r="R41">
        <v>0</v>
      </c>
      <c r="S41">
        <v>7.75193798449612</v>
      </c>
      <c r="T41" t="s">
        <v>28</v>
      </c>
      <c r="U41">
        <v>0</v>
      </c>
      <c r="V41">
        <v>1</v>
      </c>
      <c r="W41">
        <v>1</v>
      </c>
    </row>
    <row r="42" spans="1:23">
      <c r="A42" s="1">
        <v>45306</v>
      </c>
      <c r="B42" t="s">
        <v>23</v>
      </c>
      <c r="C42" t="s">
        <v>80</v>
      </c>
      <c r="D42" t="s">
        <v>41</v>
      </c>
      <c r="E42" t="s">
        <v>26</v>
      </c>
      <c r="F42">
        <v>203</v>
      </c>
      <c r="G42">
        <v>22.88</v>
      </c>
      <c r="H42">
        <v>0.71799999999999997</v>
      </c>
      <c r="I42">
        <v>107</v>
      </c>
      <c r="J42">
        <v>92.01</v>
      </c>
      <c r="K42" t="b">
        <v>0</v>
      </c>
      <c r="L42">
        <v>0</v>
      </c>
      <c r="M42" t="s">
        <v>35</v>
      </c>
      <c r="N42">
        <v>17</v>
      </c>
      <c r="O42">
        <v>5</v>
      </c>
      <c r="P42">
        <v>126</v>
      </c>
      <c r="Q42" t="b">
        <v>0</v>
      </c>
      <c r="R42">
        <v>0</v>
      </c>
      <c r="S42">
        <v>620.68965517241304</v>
      </c>
      <c r="T42" t="s">
        <v>28</v>
      </c>
      <c r="U42">
        <v>0</v>
      </c>
      <c r="V42">
        <v>1</v>
      </c>
      <c r="W42">
        <v>1</v>
      </c>
    </row>
    <row r="43" spans="1:23">
      <c r="A43" s="1">
        <v>45306</v>
      </c>
      <c r="B43" t="s">
        <v>23</v>
      </c>
      <c r="C43" t="s">
        <v>81</v>
      </c>
      <c r="D43" t="s">
        <v>43</v>
      </c>
      <c r="E43" t="s">
        <v>31</v>
      </c>
      <c r="F43">
        <v>80</v>
      </c>
      <c r="G43">
        <v>50.62</v>
      </c>
      <c r="H43">
        <v>0.81100000000000005</v>
      </c>
      <c r="I43">
        <v>42</v>
      </c>
      <c r="J43">
        <v>59.63</v>
      </c>
      <c r="K43" t="b">
        <v>0</v>
      </c>
      <c r="L43">
        <v>1</v>
      </c>
      <c r="M43" t="s">
        <v>39</v>
      </c>
      <c r="N43">
        <v>12</v>
      </c>
      <c r="O43">
        <v>1</v>
      </c>
      <c r="P43">
        <v>10</v>
      </c>
      <c r="Q43" t="b">
        <v>0</v>
      </c>
      <c r="R43">
        <v>12.5</v>
      </c>
      <c r="S43">
        <v>125</v>
      </c>
      <c r="T43" t="s">
        <v>39</v>
      </c>
      <c r="U43">
        <v>1</v>
      </c>
      <c r="V43">
        <v>1</v>
      </c>
      <c r="W43">
        <v>1</v>
      </c>
    </row>
    <row r="44" spans="1:23">
      <c r="A44" s="1">
        <v>45306</v>
      </c>
      <c r="B44" t="s">
        <v>23</v>
      </c>
      <c r="C44" t="s">
        <v>82</v>
      </c>
      <c r="D44" t="s">
        <v>25</v>
      </c>
      <c r="E44" t="s">
        <v>34</v>
      </c>
      <c r="F44">
        <v>125</v>
      </c>
      <c r="G44">
        <v>32.909999999999997</v>
      </c>
      <c r="H44">
        <v>0.35799999999999998</v>
      </c>
      <c r="I44">
        <v>151</v>
      </c>
      <c r="J44">
        <v>91.36</v>
      </c>
      <c r="K44" t="b">
        <v>0</v>
      </c>
      <c r="L44">
        <v>1</v>
      </c>
      <c r="M44" t="s">
        <v>28</v>
      </c>
      <c r="N44">
        <v>14</v>
      </c>
      <c r="O44">
        <v>9</v>
      </c>
      <c r="P44">
        <v>240</v>
      </c>
      <c r="Q44" t="b">
        <v>0</v>
      </c>
      <c r="R44">
        <v>8</v>
      </c>
      <c r="S44">
        <v>1920</v>
      </c>
      <c r="T44" t="s">
        <v>28</v>
      </c>
      <c r="U44">
        <v>0</v>
      </c>
      <c r="V44">
        <v>1</v>
      </c>
      <c r="W44">
        <v>1</v>
      </c>
    </row>
    <row r="45" spans="1:23">
      <c r="A45" s="1">
        <v>45306</v>
      </c>
      <c r="B45" t="s">
        <v>23</v>
      </c>
      <c r="C45" t="s">
        <v>83</v>
      </c>
      <c r="D45" t="s">
        <v>30</v>
      </c>
      <c r="E45" t="s">
        <v>38</v>
      </c>
      <c r="F45">
        <v>304</v>
      </c>
      <c r="G45">
        <v>47.24</v>
      </c>
      <c r="H45">
        <v>0.46700000000000003</v>
      </c>
      <c r="I45">
        <v>167</v>
      </c>
      <c r="J45">
        <v>88.07</v>
      </c>
      <c r="K45" t="b">
        <v>0</v>
      </c>
      <c r="L45">
        <v>0</v>
      </c>
      <c r="M45" t="s">
        <v>35</v>
      </c>
      <c r="N45">
        <v>21</v>
      </c>
      <c r="O45">
        <v>2</v>
      </c>
      <c r="P45">
        <v>217</v>
      </c>
      <c r="Q45" t="b">
        <v>0</v>
      </c>
      <c r="R45">
        <v>0</v>
      </c>
      <c r="S45">
        <v>713.81578947368405</v>
      </c>
      <c r="T45" t="s">
        <v>39</v>
      </c>
      <c r="U45">
        <v>0</v>
      </c>
      <c r="V45">
        <v>1</v>
      </c>
      <c r="W45">
        <v>1</v>
      </c>
    </row>
    <row r="46" spans="1:23">
      <c r="A46" s="1">
        <v>45306</v>
      </c>
      <c r="B46" t="s">
        <v>23</v>
      </c>
      <c r="C46" t="s">
        <v>84</v>
      </c>
      <c r="D46" t="s">
        <v>33</v>
      </c>
      <c r="E46" t="s">
        <v>31</v>
      </c>
      <c r="F46">
        <v>261</v>
      </c>
      <c r="G46">
        <v>17.39</v>
      </c>
      <c r="H46">
        <v>0.246</v>
      </c>
      <c r="I46">
        <v>63</v>
      </c>
      <c r="J46">
        <v>67.25</v>
      </c>
      <c r="K46" t="b">
        <v>0</v>
      </c>
      <c r="L46">
        <v>0</v>
      </c>
      <c r="M46" t="s">
        <v>85</v>
      </c>
      <c r="N46">
        <v>12</v>
      </c>
      <c r="O46">
        <v>1</v>
      </c>
      <c r="P46">
        <v>79</v>
      </c>
      <c r="Q46" t="b">
        <v>1</v>
      </c>
      <c r="R46">
        <v>0</v>
      </c>
      <c r="S46">
        <v>302.68199233716399</v>
      </c>
      <c r="T46" t="s">
        <v>27</v>
      </c>
      <c r="U46">
        <v>0</v>
      </c>
      <c r="V46">
        <v>1</v>
      </c>
      <c r="W46">
        <v>1</v>
      </c>
    </row>
    <row r="47" spans="1:23">
      <c r="A47" s="1">
        <v>45306</v>
      </c>
      <c r="B47" t="s">
        <v>23</v>
      </c>
      <c r="C47" t="s">
        <v>86</v>
      </c>
      <c r="D47" t="s">
        <v>37</v>
      </c>
      <c r="E47" t="s">
        <v>34</v>
      </c>
      <c r="F47">
        <v>405</v>
      </c>
      <c r="G47">
        <v>5.14</v>
      </c>
      <c r="H47">
        <v>0.71599999999999997</v>
      </c>
      <c r="I47">
        <v>126</v>
      </c>
      <c r="J47">
        <v>66.64</v>
      </c>
      <c r="K47" t="b">
        <v>0</v>
      </c>
      <c r="L47">
        <v>0</v>
      </c>
      <c r="M47" t="s">
        <v>35</v>
      </c>
      <c r="N47">
        <v>19</v>
      </c>
      <c r="O47">
        <v>5</v>
      </c>
      <c r="P47">
        <v>221</v>
      </c>
      <c r="Q47" t="b">
        <v>0</v>
      </c>
      <c r="R47">
        <v>0</v>
      </c>
      <c r="S47">
        <v>545.67901234567898</v>
      </c>
      <c r="T47" t="s">
        <v>27</v>
      </c>
      <c r="U47">
        <v>0</v>
      </c>
      <c r="V47">
        <v>1</v>
      </c>
      <c r="W47">
        <v>1</v>
      </c>
    </row>
    <row r="48" spans="1:23">
      <c r="A48" s="1">
        <v>45306</v>
      </c>
      <c r="B48" t="s">
        <v>23</v>
      </c>
      <c r="C48" t="s">
        <v>87</v>
      </c>
      <c r="D48" t="s">
        <v>41</v>
      </c>
      <c r="E48" t="s">
        <v>38</v>
      </c>
      <c r="F48">
        <v>83</v>
      </c>
      <c r="G48">
        <v>29.25</v>
      </c>
      <c r="H48">
        <v>0.32300000000000001</v>
      </c>
      <c r="I48">
        <v>133</v>
      </c>
      <c r="J48">
        <v>61.44</v>
      </c>
      <c r="K48" t="b">
        <v>0</v>
      </c>
      <c r="L48">
        <v>0</v>
      </c>
      <c r="M48" t="s">
        <v>35</v>
      </c>
      <c r="N48">
        <v>17</v>
      </c>
      <c r="O48">
        <v>4</v>
      </c>
      <c r="P48">
        <v>149</v>
      </c>
      <c r="Q48" t="b">
        <v>0</v>
      </c>
      <c r="R48">
        <v>0</v>
      </c>
      <c r="S48">
        <v>1795.18072289156</v>
      </c>
      <c r="T48" t="s">
        <v>28</v>
      </c>
      <c r="U48">
        <v>0</v>
      </c>
      <c r="V48">
        <v>1</v>
      </c>
      <c r="W48">
        <v>1</v>
      </c>
    </row>
    <row r="49" spans="1:23">
      <c r="A49" s="1">
        <v>45306</v>
      </c>
      <c r="B49" t="s">
        <v>23</v>
      </c>
      <c r="C49" t="s">
        <v>88</v>
      </c>
      <c r="D49" t="s">
        <v>43</v>
      </c>
      <c r="E49" t="s">
        <v>47</v>
      </c>
      <c r="F49">
        <v>306</v>
      </c>
      <c r="G49">
        <v>42.82</v>
      </c>
      <c r="H49">
        <v>0.56699999999999995</v>
      </c>
      <c r="I49">
        <v>96</v>
      </c>
      <c r="J49">
        <v>53.22</v>
      </c>
      <c r="K49" t="b">
        <v>0</v>
      </c>
      <c r="L49">
        <v>0</v>
      </c>
      <c r="M49" t="s">
        <v>35</v>
      </c>
      <c r="N49">
        <v>7</v>
      </c>
      <c r="O49">
        <v>6</v>
      </c>
      <c r="P49">
        <v>195</v>
      </c>
      <c r="Q49" t="b">
        <v>0</v>
      </c>
      <c r="R49">
        <v>0</v>
      </c>
      <c r="S49">
        <v>637.25490196078397</v>
      </c>
      <c r="T49" t="s">
        <v>39</v>
      </c>
      <c r="U49">
        <v>1</v>
      </c>
      <c r="V49">
        <v>1</v>
      </c>
      <c r="W49">
        <v>1</v>
      </c>
    </row>
    <row r="50" spans="1:23">
      <c r="A50" s="1">
        <v>45306</v>
      </c>
      <c r="B50" t="s">
        <v>23</v>
      </c>
      <c r="C50" t="s">
        <v>89</v>
      </c>
      <c r="D50" t="s">
        <v>25</v>
      </c>
      <c r="E50" t="s">
        <v>34</v>
      </c>
      <c r="F50">
        <v>112</v>
      </c>
      <c r="G50">
        <v>10.79</v>
      </c>
      <c r="H50">
        <v>0.56699999999999995</v>
      </c>
      <c r="I50">
        <v>151</v>
      </c>
      <c r="J50">
        <v>50</v>
      </c>
      <c r="K50" t="b">
        <v>0</v>
      </c>
      <c r="L50">
        <v>1</v>
      </c>
      <c r="M50" t="s">
        <v>27</v>
      </c>
      <c r="N50">
        <v>11</v>
      </c>
      <c r="O50">
        <v>3</v>
      </c>
      <c r="P50">
        <v>211</v>
      </c>
      <c r="Q50" t="b">
        <v>0</v>
      </c>
      <c r="R50">
        <v>8.9285714285714199</v>
      </c>
      <c r="S50">
        <v>1883.92857142857</v>
      </c>
      <c r="T50" t="s">
        <v>27</v>
      </c>
      <c r="U50">
        <v>1</v>
      </c>
      <c r="V50">
        <v>1</v>
      </c>
      <c r="W50">
        <v>1</v>
      </c>
    </row>
    <row r="51" spans="1:23">
      <c r="A51" s="1">
        <v>45306</v>
      </c>
      <c r="B51" t="s">
        <v>23</v>
      </c>
      <c r="C51" t="s">
        <v>90</v>
      </c>
      <c r="D51" t="s">
        <v>30</v>
      </c>
      <c r="E51" t="s">
        <v>38</v>
      </c>
      <c r="F51">
        <v>291</v>
      </c>
      <c r="G51">
        <v>41.4</v>
      </c>
      <c r="H51">
        <v>0.45200000000000001</v>
      </c>
      <c r="I51">
        <v>161</v>
      </c>
      <c r="J51">
        <v>27.11</v>
      </c>
      <c r="K51" t="b">
        <v>0</v>
      </c>
      <c r="L51">
        <v>3</v>
      </c>
      <c r="M51" t="s">
        <v>28</v>
      </c>
      <c r="N51">
        <v>8</v>
      </c>
      <c r="O51">
        <v>7</v>
      </c>
      <c r="P51">
        <v>208</v>
      </c>
      <c r="Q51" t="b">
        <v>0</v>
      </c>
      <c r="R51">
        <v>10.309278350515401</v>
      </c>
      <c r="S51">
        <v>714.77663230240501</v>
      </c>
      <c r="T51" t="s">
        <v>39</v>
      </c>
      <c r="U51">
        <v>1</v>
      </c>
      <c r="V51">
        <v>1</v>
      </c>
      <c r="W51">
        <v>1</v>
      </c>
    </row>
    <row r="52" spans="1:23">
      <c r="A52" s="1">
        <v>45306</v>
      </c>
      <c r="B52" t="s">
        <v>23</v>
      </c>
      <c r="C52" t="s">
        <v>91</v>
      </c>
      <c r="D52" t="s">
        <v>33</v>
      </c>
      <c r="E52" t="s">
        <v>47</v>
      </c>
      <c r="F52">
        <v>80</v>
      </c>
      <c r="L52">
        <v>0</v>
      </c>
      <c r="M52" t="s">
        <v>35</v>
      </c>
      <c r="N52">
        <v>14</v>
      </c>
      <c r="O52">
        <v>10</v>
      </c>
      <c r="P52">
        <v>228</v>
      </c>
      <c r="Q52" t="b">
        <v>0</v>
      </c>
      <c r="R52">
        <v>0</v>
      </c>
      <c r="S52">
        <v>2850</v>
      </c>
      <c r="U52">
        <v>0</v>
      </c>
      <c r="V52">
        <v>1</v>
      </c>
      <c r="W52">
        <v>1</v>
      </c>
    </row>
    <row r="53" spans="1:23">
      <c r="A53" s="1">
        <v>45306</v>
      </c>
      <c r="B53" t="s">
        <v>23</v>
      </c>
      <c r="C53" t="s">
        <v>92</v>
      </c>
      <c r="D53" t="s">
        <v>37</v>
      </c>
      <c r="E53" t="s">
        <v>26</v>
      </c>
      <c r="F53">
        <v>131</v>
      </c>
      <c r="G53">
        <v>46.36</v>
      </c>
      <c r="H53">
        <v>0.49299999999999999</v>
      </c>
      <c r="I53">
        <v>122</v>
      </c>
      <c r="J53">
        <v>61.09</v>
      </c>
      <c r="K53" t="b">
        <v>0</v>
      </c>
      <c r="L53">
        <v>0</v>
      </c>
      <c r="M53" t="s">
        <v>35</v>
      </c>
      <c r="N53">
        <v>14</v>
      </c>
      <c r="O53">
        <v>5</v>
      </c>
      <c r="P53">
        <v>145</v>
      </c>
      <c r="Q53" t="b">
        <v>0</v>
      </c>
      <c r="R53">
        <v>0</v>
      </c>
      <c r="S53">
        <v>1106.8702290076301</v>
      </c>
      <c r="T53" t="s">
        <v>39</v>
      </c>
      <c r="U53">
        <v>0</v>
      </c>
      <c r="V53">
        <v>1</v>
      </c>
      <c r="W53">
        <v>1</v>
      </c>
    </row>
    <row r="54" spans="1:23">
      <c r="A54" s="1">
        <v>45306</v>
      </c>
      <c r="B54" t="s">
        <v>23</v>
      </c>
      <c r="C54" t="s">
        <v>93</v>
      </c>
      <c r="D54" t="s">
        <v>41</v>
      </c>
      <c r="E54" t="s">
        <v>38</v>
      </c>
      <c r="F54">
        <v>163</v>
      </c>
      <c r="G54">
        <v>4.45</v>
      </c>
      <c r="H54">
        <v>0.80500000000000005</v>
      </c>
      <c r="I54">
        <v>217</v>
      </c>
      <c r="J54">
        <v>78.14</v>
      </c>
      <c r="K54" t="b">
        <v>0</v>
      </c>
      <c r="L54">
        <v>0</v>
      </c>
      <c r="M54" t="s">
        <v>35</v>
      </c>
      <c r="N54">
        <v>9</v>
      </c>
      <c r="O54">
        <v>7</v>
      </c>
      <c r="P54">
        <v>300</v>
      </c>
      <c r="Q54" t="b">
        <v>0</v>
      </c>
      <c r="R54">
        <v>0</v>
      </c>
      <c r="S54">
        <v>1840.4907975460101</v>
      </c>
      <c r="T54" t="s">
        <v>27</v>
      </c>
      <c r="U54">
        <v>0</v>
      </c>
      <c r="V54">
        <v>1</v>
      </c>
      <c r="W54">
        <v>1</v>
      </c>
    </row>
    <row r="55" spans="1:23">
      <c r="A55" s="1">
        <v>45306</v>
      </c>
      <c r="B55" t="s">
        <v>23</v>
      </c>
      <c r="C55" t="s">
        <v>94</v>
      </c>
      <c r="D55" t="s">
        <v>43</v>
      </c>
      <c r="E55" t="s">
        <v>47</v>
      </c>
      <c r="F55">
        <v>80</v>
      </c>
      <c r="G55">
        <v>31.94</v>
      </c>
      <c r="H55">
        <v>0.77</v>
      </c>
      <c r="I55">
        <v>73</v>
      </c>
      <c r="J55">
        <v>65.400000000000006</v>
      </c>
      <c r="K55" t="b">
        <v>0</v>
      </c>
      <c r="L55">
        <v>0</v>
      </c>
      <c r="M55" t="s">
        <v>35</v>
      </c>
      <c r="N55">
        <v>11</v>
      </c>
      <c r="O55">
        <v>10</v>
      </c>
      <c r="P55">
        <v>167</v>
      </c>
      <c r="Q55" t="b">
        <v>0</v>
      </c>
      <c r="R55">
        <v>0</v>
      </c>
      <c r="S55">
        <v>2087.5</v>
      </c>
      <c r="T55" t="s">
        <v>28</v>
      </c>
      <c r="U55">
        <v>0</v>
      </c>
      <c r="V55">
        <v>1</v>
      </c>
      <c r="W55">
        <v>1</v>
      </c>
    </row>
    <row r="56" spans="1:23">
      <c r="A56" s="1">
        <v>45306</v>
      </c>
      <c r="B56" t="s">
        <v>23</v>
      </c>
      <c r="C56" t="s">
        <v>95</v>
      </c>
      <c r="D56" t="s">
        <v>25</v>
      </c>
      <c r="E56" t="s">
        <v>26</v>
      </c>
      <c r="F56">
        <v>112</v>
      </c>
      <c r="G56">
        <v>22.98</v>
      </c>
      <c r="H56">
        <v>0.82599999999999996</v>
      </c>
      <c r="I56">
        <v>21</v>
      </c>
      <c r="J56">
        <v>93.23</v>
      </c>
      <c r="K56" t="b">
        <v>0</v>
      </c>
      <c r="L56">
        <v>1</v>
      </c>
      <c r="M56" t="s">
        <v>27</v>
      </c>
      <c r="N56">
        <v>10</v>
      </c>
      <c r="O56">
        <v>8</v>
      </c>
      <c r="P56">
        <v>54</v>
      </c>
      <c r="Q56" t="b">
        <v>0</v>
      </c>
      <c r="R56">
        <v>8.9285714285714199</v>
      </c>
      <c r="S56">
        <v>482.142857142857</v>
      </c>
      <c r="T56" t="s">
        <v>28</v>
      </c>
      <c r="U56">
        <v>0</v>
      </c>
      <c r="V56">
        <v>1</v>
      </c>
      <c r="W56">
        <v>1</v>
      </c>
    </row>
    <row r="57" spans="1:23">
      <c r="A57" s="1">
        <v>45306</v>
      </c>
      <c r="B57" t="s">
        <v>23</v>
      </c>
      <c r="C57" t="s">
        <v>96</v>
      </c>
      <c r="D57" t="s">
        <v>30</v>
      </c>
      <c r="E57" t="s">
        <v>31</v>
      </c>
      <c r="F57">
        <v>582</v>
      </c>
      <c r="G57">
        <v>20.260000000000002</v>
      </c>
      <c r="H57">
        <v>0.05</v>
      </c>
      <c r="I57">
        <v>180</v>
      </c>
      <c r="J57">
        <v>100</v>
      </c>
      <c r="K57" t="b">
        <v>0</v>
      </c>
      <c r="L57">
        <v>0</v>
      </c>
      <c r="M57" t="s">
        <v>35</v>
      </c>
      <c r="N57">
        <v>28</v>
      </c>
      <c r="O57">
        <v>6</v>
      </c>
      <c r="P57">
        <v>184</v>
      </c>
      <c r="Q57" t="b">
        <v>0</v>
      </c>
      <c r="R57">
        <v>0</v>
      </c>
      <c r="S57">
        <v>316.15120274914</v>
      </c>
      <c r="T57" t="s">
        <v>28</v>
      </c>
      <c r="U57">
        <v>0</v>
      </c>
      <c r="V57">
        <v>1</v>
      </c>
      <c r="W57">
        <v>1</v>
      </c>
    </row>
    <row r="58" spans="1:23">
      <c r="A58" s="1">
        <v>45306</v>
      </c>
      <c r="B58" t="s">
        <v>23</v>
      </c>
      <c r="C58" t="s">
        <v>97</v>
      </c>
      <c r="D58" t="s">
        <v>33</v>
      </c>
      <c r="E58" t="s">
        <v>47</v>
      </c>
      <c r="F58">
        <v>351</v>
      </c>
      <c r="G58">
        <v>27.07</v>
      </c>
      <c r="H58">
        <v>0.53700000000000003</v>
      </c>
      <c r="I58">
        <v>47</v>
      </c>
      <c r="J58">
        <v>100</v>
      </c>
      <c r="K58" t="b">
        <v>0</v>
      </c>
      <c r="L58">
        <v>0</v>
      </c>
      <c r="M58" t="s">
        <v>35</v>
      </c>
      <c r="N58">
        <v>5</v>
      </c>
      <c r="O58">
        <v>9</v>
      </c>
      <c r="P58">
        <v>30</v>
      </c>
      <c r="Q58" t="b">
        <v>0</v>
      </c>
      <c r="R58">
        <v>0</v>
      </c>
      <c r="S58">
        <v>85.470085470085394</v>
      </c>
      <c r="T58" t="s">
        <v>28</v>
      </c>
      <c r="U58">
        <v>0</v>
      </c>
      <c r="V58">
        <v>1</v>
      </c>
      <c r="W58">
        <v>1</v>
      </c>
    </row>
    <row r="59" spans="1:23">
      <c r="A59" s="1">
        <v>45306</v>
      </c>
      <c r="B59" t="s">
        <v>23</v>
      </c>
      <c r="C59" t="s">
        <v>98</v>
      </c>
      <c r="D59" t="s">
        <v>37</v>
      </c>
      <c r="E59" t="s">
        <v>26</v>
      </c>
      <c r="F59">
        <v>244</v>
      </c>
      <c r="G59">
        <v>41.49</v>
      </c>
      <c r="H59">
        <v>0.72499999999999998</v>
      </c>
      <c r="I59">
        <v>66</v>
      </c>
      <c r="J59">
        <v>71.989999999999995</v>
      </c>
      <c r="K59" t="b">
        <v>0</v>
      </c>
      <c r="L59">
        <v>1</v>
      </c>
      <c r="M59" t="s">
        <v>27</v>
      </c>
      <c r="N59">
        <v>9</v>
      </c>
      <c r="O59">
        <v>7</v>
      </c>
      <c r="P59">
        <v>60</v>
      </c>
      <c r="Q59" t="b">
        <v>0</v>
      </c>
      <c r="R59">
        <v>4.0983606557377001</v>
      </c>
      <c r="S59">
        <v>245.90163934426201</v>
      </c>
      <c r="T59" t="s">
        <v>39</v>
      </c>
      <c r="U59">
        <v>0</v>
      </c>
      <c r="V59">
        <v>1</v>
      </c>
      <c r="W59">
        <v>1</v>
      </c>
    </row>
    <row r="60" spans="1:23">
      <c r="A60" s="1">
        <v>45306</v>
      </c>
      <c r="B60" t="s">
        <v>23</v>
      </c>
      <c r="C60" t="s">
        <v>99</v>
      </c>
      <c r="D60" t="s">
        <v>41</v>
      </c>
      <c r="E60" t="s">
        <v>31</v>
      </c>
      <c r="F60">
        <v>159</v>
      </c>
      <c r="G60">
        <v>54.9</v>
      </c>
      <c r="H60">
        <v>0.23100000000000001</v>
      </c>
      <c r="I60">
        <v>85</v>
      </c>
      <c r="J60">
        <v>57.57</v>
      </c>
      <c r="K60" t="b">
        <v>0</v>
      </c>
      <c r="L60">
        <v>2</v>
      </c>
      <c r="M60" t="s">
        <v>28</v>
      </c>
      <c r="N60">
        <v>13</v>
      </c>
      <c r="O60">
        <v>5</v>
      </c>
      <c r="P60">
        <v>182</v>
      </c>
      <c r="Q60" t="b">
        <v>0</v>
      </c>
      <c r="R60">
        <v>12.5786163522012</v>
      </c>
      <c r="S60">
        <v>1144.6540880503101</v>
      </c>
      <c r="T60" t="s">
        <v>39</v>
      </c>
      <c r="U60">
        <v>1</v>
      </c>
      <c r="V60">
        <v>1</v>
      </c>
      <c r="W60">
        <v>1</v>
      </c>
    </row>
    <row r="61" spans="1:23">
      <c r="A61" s="1">
        <v>45306</v>
      </c>
      <c r="B61" t="s">
        <v>23</v>
      </c>
      <c r="C61" t="s">
        <v>100</v>
      </c>
      <c r="D61" t="s">
        <v>43</v>
      </c>
      <c r="E61" t="s">
        <v>34</v>
      </c>
      <c r="F61">
        <v>152</v>
      </c>
      <c r="G61">
        <v>27.43</v>
      </c>
      <c r="H61">
        <v>0.13500000000000001</v>
      </c>
      <c r="I61">
        <v>229</v>
      </c>
      <c r="J61">
        <v>92.81</v>
      </c>
      <c r="K61" t="b">
        <v>0</v>
      </c>
      <c r="L61">
        <v>1</v>
      </c>
      <c r="M61" t="s">
        <v>28</v>
      </c>
      <c r="N61">
        <v>18</v>
      </c>
      <c r="O61">
        <v>6</v>
      </c>
      <c r="P61">
        <v>293</v>
      </c>
      <c r="Q61" t="b">
        <v>0</v>
      </c>
      <c r="R61">
        <v>6.5789473684210504</v>
      </c>
      <c r="S61">
        <v>1927.6315789473599</v>
      </c>
      <c r="T61" t="s">
        <v>28</v>
      </c>
      <c r="U61">
        <v>0</v>
      </c>
      <c r="V61">
        <v>1</v>
      </c>
      <c r="W61">
        <v>1</v>
      </c>
    </row>
    <row r="62" spans="1:23">
      <c r="A62" s="1">
        <v>45396</v>
      </c>
      <c r="B62" t="s">
        <v>101</v>
      </c>
      <c r="C62" t="s">
        <v>24</v>
      </c>
      <c r="D62" t="s">
        <v>25</v>
      </c>
      <c r="E62" t="s">
        <v>26</v>
      </c>
      <c r="F62">
        <v>103</v>
      </c>
      <c r="G62">
        <v>24.46</v>
      </c>
      <c r="H62">
        <v>0.68400000000000005</v>
      </c>
      <c r="I62">
        <v>103</v>
      </c>
      <c r="J62">
        <v>54.82</v>
      </c>
      <c r="K62" t="b">
        <v>0</v>
      </c>
      <c r="L62">
        <v>0</v>
      </c>
      <c r="M62" t="s">
        <v>35</v>
      </c>
      <c r="N62">
        <v>17</v>
      </c>
      <c r="O62">
        <v>7</v>
      </c>
      <c r="P62">
        <v>145</v>
      </c>
      <c r="Q62" t="b">
        <v>0</v>
      </c>
      <c r="R62">
        <v>0</v>
      </c>
      <c r="S62">
        <v>1407.7669902912601</v>
      </c>
      <c r="T62" t="s">
        <v>28</v>
      </c>
      <c r="U62">
        <v>1</v>
      </c>
      <c r="V62">
        <v>4</v>
      </c>
      <c r="W62">
        <v>2</v>
      </c>
    </row>
    <row r="63" spans="1:23">
      <c r="A63" s="1">
        <v>45396</v>
      </c>
      <c r="B63" t="s">
        <v>101</v>
      </c>
      <c r="C63" t="s">
        <v>29</v>
      </c>
      <c r="D63" t="s">
        <v>30</v>
      </c>
      <c r="E63" t="s">
        <v>31</v>
      </c>
      <c r="F63">
        <v>215</v>
      </c>
      <c r="G63">
        <v>48.56</v>
      </c>
      <c r="H63">
        <v>0.67700000000000005</v>
      </c>
      <c r="I63">
        <v>60</v>
      </c>
      <c r="J63">
        <v>34.85</v>
      </c>
      <c r="K63" t="b">
        <v>0</v>
      </c>
      <c r="L63">
        <v>0</v>
      </c>
      <c r="M63" t="s">
        <v>35</v>
      </c>
      <c r="N63">
        <v>4</v>
      </c>
      <c r="O63">
        <v>9</v>
      </c>
      <c r="P63">
        <v>150</v>
      </c>
      <c r="Q63" t="b">
        <v>0</v>
      </c>
      <c r="R63">
        <v>0</v>
      </c>
      <c r="S63">
        <v>697.67441860465101</v>
      </c>
      <c r="T63" t="s">
        <v>39</v>
      </c>
      <c r="U63">
        <v>1</v>
      </c>
      <c r="V63">
        <v>4</v>
      </c>
      <c r="W63">
        <v>2</v>
      </c>
    </row>
    <row r="64" spans="1:23">
      <c r="A64" s="1">
        <v>45396</v>
      </c>
      <c r="B64" t="s">
        <v>101</v>
      </c>
      <c r="C64" t="s">
        <v>32</v>
      </c>
      <c r="D64" t="s">
        <v>33</v>
      </c>
      <c r="E64" t="s">
        <v>34</v>
      </c>
      <c r="F64">
        <v>176</v>
      </c>
      <c r="G64">
        <v>41.76</v>
      </c>
      <c r="H64">
        <v>0.58799999999999997</v>
      </c>
      <c r="I64">
        <v>56</v>
      </c>
      <c r="J64">
        <v>66.349999999999994</v>
      </c>
      <c r="K64" t="b">
        <v>0</v>
      </c>
      <c r="L64">
        <v>0</v>
      </c>
      <c r="M64" t="s">
        <v>35</v>
      </c>
      <c r="N64">
        <v>13</v>
      </c>
      <c r="O64">
        <v>5</v>
      </c>
      <c r="P64">
        <v>133</v>
      </c>
      <c r="Q64" t="b">
        <v>0</v>
      </c>
      <c r="R64">
        <v>0</v>
      </c>
      <c r="S64">
        <v>755.68181818181802</v>
      </c>
      <c r="T64" t="s">
        <v>39</v>
      </c>
      <c r="U64">
        <v>0</v>
      </c>
      <c r="V64">
        <v>4</v>
      </c>
      <c r="W64">
        <v>2</v>
      </c>
    </row>
    <row r="65" spans="1:23">
      <c r="A65" s="1">
        <v>45396</v>
      </c>
      <c r="B65" t="s">
        <v>101</v>
      </c>
      <c r="C65" t="s">
        <v>36</v>
      </c>
      <c r="D65" t="s">
        <v>37</v>
      </c>
      <c r="E65" t="s">
        <v>38</v>
      </c>
      <c r="F65">
        <v>150</v>
      </c>
      <c r="G65">
        <v>39.979999999999997</v>
      </c>
      <c r="H65">
        <v>5.8000000000000003E-2</v>
      </c>
      <c r="I65">
        <v>88</v>
      </c>
      <c r="J65">
        <v>67.94</v>
      </c>
      <c r="K65" t="b">
        <v>0</v>
      </c>
      <c r="L65">
        <v>0</v>
      </c>
      <c r="M65" t="s">
        <v>35</v>
      </c>
      <c r="N65">
        <v>8</v>
      </c>
      <c r="O65">
        <v>2</v>
      </c>
      <c r="P65">
        <v>148</v>
      </c>
      <c r="Q65" t="b">
        <v>0</v>
      </c>
      <c r="R65">
        <v>0</v>
      </c>
      <c r="S65">
        <v>986.66666666666595</v>
      </c>
      <c r="T65" t="s">
        <v>28</v>
      </c>
      <c r="U65">
        <v>0</v>
      </c>
      <c r="V65">
        <v>4</v>
      </c>
      <c r="W65">
        <v>2</v>
      </c>
    </row>
    <row r="66" spans="1:23">
      <c r="A66" s="1">
        <v>45396</v>
      </c>
      <c r="B66" t="s">
        <v>101</v>
      </c>
      <c r="C66" t="s">
        <v>40</v>
      </c>
      <c r="D66" t="s">
        <v>41</v>
      </c>
      <c r="E66" t="s">
        <v>31</v>
      </c>
      <c r="F66">
        <v>235</v>
      </c>
      <c r="G66">
        <v>46.79</v>
      </c>
      <c r="H66">
        <v>0.59299999999999997</v>
      </c>
      <c r="I66">
        <v>166</v>
      </c>
      <c r="J66">
        <v>92.85</v>
      </c>
      <c r="K66" t="b">
        <v>0</v>
      </c>
      <c r="L66">
        <v>0</v>
      </c>
      <c r="M66" t="s">
        <v>35</v>
      </c>
      <c r="N66">
        <v>21</v>
      </c>
      <c r="O66">
        <v>6</v>
      </c>
      <c r="P66">
        <v>274</v>
      </c>
      <c r="Q66" t="b">
        <v>0</v>
      </c>
      <c r="R66">
        <v>0</v>
      </c>
      <c r="S66">
        <v>1165.95744680851</v>
      </c>
      <c r="T66" t="s">
        <v>39</v>
      </c>
      <c r="U66">
        <v>0</v>
      </c>
      <c r="V66">
        <v>4</v>
      </c>
      <c r="W66">
        <v>2</v>
      </c>
    </row>
    <row r="67" spans="1:23">
      <c r="A67" s="1">
        <v>45396</v>
      </c>
      <c r="B67" t="s">
        <v>101</v>
      </c>
      <c r="C67" t="s">
        <v>42</v>
      </c>
      <c r="D67" t="s">
        <v>43</v>
      </c>
      <c r="E67" t="s">
        <v>34</v>
      </c>
      <c r="F67">
        <v>333</v>
      </c>
      <c r="G67">
        <v>28.59</v>
      </c>
      <c r="H67">
        <v>0.316</v>
      </c>
      <c r="I67">
        <v>166</v>
      </c>
      <c r="J67">
        <v>33.4</v>
      </c>
      <c r="K67" t="b">
        <v>0</v>
      </c>
      <c r="L67">
        <v>1</v>
      </c>
      <c r="M67" t="s">
        <v>27</v>
      </c>
      <c r="N67">
        <v>16</v>
      </c>
      <c r="O67">
        <v>7</v>
      </c>
      <c r="P67">
        <v>268</v>
      </c>
      <c r="Q67" t="b">
        <v>0</v>
      </c>
      <c r="R67">
        <v>3.0030030030030002</v>
      </c>
      <c r="S67">
        <v>804.80480480480401</v>
      </c>
      <c r="T67" t="s">
        <v>28</v>
      </c>
      <c r="U67">
        <v>1</v>
      </c>
      <c r="V67">
        <v>4</v>
      </c>
      <c r="W67">
        <v>2</v>
      </c>
    </row>
    <row r="68" spans="1:23">
      <c r="A68" s="1">
        <v>45396</v>
      </c>
      <c r="B68" t="s">
        <v>101</v>
      </c>
      <c r="C68" t="s">
        <v>45</v>
      </c>
      <c r="D68" t="s">
        <v>25</v>
      </c>
      <c r="E68" t="s">
        <v>38</v>
      </c>
      <c r="F68">
        <v>199</v>
      </c>
      <c r="G68">
        <v>17.170000000000002</v>
      </c>
      <c r="H68">
        <v>0.32500000000000001</v>
      </c>
      <c r="I68">
        <v>200</v>
      </c>
      <c r="J68">
        <v>38.17</v>
      </c>
      <c r="K68" t="b">
        <v>0</v>
      </c>
      <c r="L68">
        <v>2</v>
      </c>
      <c r="M68" t="s">
        <v>28</v>
      </c>
      <c r="N68">
        <v>14</v>
      </c>
      <c r="O68">
        <v>3</v>
      </c>
      <c r="P68">
        <v>194</v>
      </c>
      <c r="Q68" t="b">
        <v>0</v>
      </c>
      <c r="R68">
        <v>10.050251256281401</v>
      </c>
      <c r="S68">
        <v>974.87437185929605</v>
      </c>
      <c r="T68" t="s">
        <v>27</v>
      </c>
      <c r="U68">
        <v>1</v>
      </c>
      <c r="V68">
        <v>4</v>
      </c>
      <c r="W68">
        <v>2</v>
      </c>
    </row>
    <row r="69" spans="1:23">
      <c r="A69" s="1">
        <v>45396</v>
      </c>
      <c r="B69" t="s">
        <v>101</v>
      </c>
      <c r="C69" t="s">
        <v>46</v>
      </c>
      <c r="D69" t="s">
        <v>30</v>
      </c>
      <c r="E69" t="s">
        <v>47</v>
      </c>
      <c r="F69">
        <v>104</v>
      </c>
      <c r="G69">
        <v>1</v>
      </c>
      <c r="H69">
        <v>0.55700000000000005</v>
      </c>
      <c r="I69">
        <v>52</v>
      </c>
      <c r="J69">
        <v>45.26</v>
      </c>
      <c r="K69" t="b">
        <v>0</v>
      </c>
      <c r="L69">
        <v>0</v>
      </c>
      <c r="M69" t="s">
        <v>35</v>
      </c>
      <c r="N69">
        <v>6</v>
      </c>
      <c r="O69">
        <v>5</v>
      </c>
      <c r="P69">
        <v>133</v>
      </c>
      <c r="Q69" t="b">
        <v>0</v>
      </c>
      <c r="R69">
        <v>0</v>
      </c>
      <c r="S69">
        <v>1278.8461538461499</v>
      </c>
      <c r="T69" t="s">
        <v>27</v>
      </c>
      <c r="U69">
        <v>1</v>
      </c>
      <c r="V69">
        <v>4</v>
      </c>
      <c r="W69">
        <v>2</v>
      </c>
    </row>
    <row r="70" spans="1:23">
      <c r="A70" s="1">
        <v>45396</v>
      </c>
      <c r="B70" t="s">
        <v>101</v>
      </c>
      <c r="C70" t="s">
        <v>48</v>
      </c>
      <c r="D70" t="s">
        <v>33</v>
      </c>
      <c r="E70" t="s">
        <v>34</v>
      </c>
      <c r="F70">
        <v>250</v>
      </c>
      <c r="G70">
        <v>24.34</v>
      </c>
      <c r="H70">
        <v>0.61899999999999999</v>
      </c>
      <c r="I70">
        <v>139</v>
      </c>
      <c r="J70">
        <v>79.349999999999994</v>
      </c>
      <c r="K70" t="b">
        <v>0</v>
      </c>
      <c r="L70">
        <v>0</v>
      </c>
      <c r="M70" t="s">
        <v>35</v>
      </c>
      <c r="N70">
        <v>17</v>
      </c>
      <c r="O70">
        <v>3</v>
      </c>
      <c r="P70">
        <v>181</v>
      </c>
      <c r="Q70" t="b">
        <v>0</v>
      </c>
      <c r="R70">
        <v>0</v>
      </c>
      <c r="S70">
        <v>724</v>
      </c>
      <c r="T70" t="s">
        <v>28</v>
      </c>
      <c r="U70">
        <v>0</v>
      </c>
      <c r="V70">
        <v>4</v>
      </c>
      <c r="W70">
        <v>2</v>
      </c>
    </row>
    <row r="71" spans="1:23">
      <c r="A71" s="1">
        <v>45396</v>
      </c>
      <c r="B71" t="s">
        <v>101</v>
      </c>
      <c r="C71" t="s">
        <v>49</v>
      </c>
      <c r="D71" t="s">
        <v>37</v>
      </c>
      <c r="E71" t="s">
        <v>38</v>
      </c>
      <c r="F71">
        <v>155</v>
      </c>
      <c r="G71">
        <v>42.76</v>
      </c>
      <c r="H71">
        <v>0.38700000000000001</v>
      </c>
      <c r="I71">
        <v>225</v>
      </c>
      <c r="J71">
        <v>67.849999999999994</v>
      </c>
      <c r="K71" t="b">
        <v>0</v>
      </c>
      <c r="L71">
        <v>1</v>
      </c>
      <c r="M71" t="s">
        <v>27</v>
      </c>
      <c r="N71">
        <v>23</v>
      </c>
      <c r="O71">
        <v>8</v>
      </c>
      <c r="P71">
        <v>352</v>
      </c>
      <c r="Q71" t="b">
        <v>0</v>
      </c>
      <c r="R71">
        <v>6.4516129032257998</v>
      </c>
      <c r="S71">
        <v>2270.9677419354798</v>
      </c>
      <c r="T71" t="s">
        <v>39</v>
      </c>
      <c r="U71">
        <v>0</v>
      </c>
      <c r="V71">
        <v>4</v>
      </c>
      <c r="W71">
        <v>2</v>
      </c>
    </row>
    <row r="72" spans="1:23">
      <c r="A72" s="1">
        <v>45396</v>
      </c>
      <c r="B72" t="s">
        <v>101</v>
      </c>
      <c r="C72" t="s">
        <v>50</v>
      </c>
      <c r="D72" t="s">
        <v>41</v>
      </c>
      <c r="E72" t="s">
        <v>47</v>
      </c>
      <c r="F72">
        <v>346</v>
      </c>
      <c r="G72">
        <v>48.88</v>
      </c>
      <c r="H72">
        <v>0.36699999999999999</v>
      </c>
      <c r="I72">
        <v>41</v>
      </c>
      <c r="J72">
        <v>70.989999999999995</v>
      </c>
      <c r="K72" t="b">
        <v>0</v>
      </c>
      <c r="L72">
        <v>0</v>
      </c>
      <c r="M72" t="s">
        <v>35</v>
      </c>
      <c r="N72">
        <v>14</v>
      </c>
      <c r="O72">
        <v>5</v>
      </c>
      <c r="P72">
        <v>77</v>
      </c>
      <c r="Q72" t="b">
        <v>0</v>
      </c>
      <c r="R72">
        <v>0</v>
      </c>
      <c r="S72">
        <v>222.54335260115599</v>
      </c>
      <c r="T72" t="s">
        <v>39</v>
      </c>
      <c r="U72">
        <v>0</v>
      </c>
      <c r="V72">
        <v>4</v>
      </c>
      <c r="W72">
        <v>2</v>
      </c>
    </row>
    <row r="73" spans="1:23">
      <c r="A73" s="1">
        <v>45396</v>
      </c>
      <c r="B73" t="s">
        <v>101</v>
      </c>
      <c r="C73" t="s">
        <v>51</v>
      </c>
      <c r="D73" t="s">
        <v>43</v>
      </c>
      <c r="E73" t="s">
        <v>26</v>
      </c>
      <c r="F73">
        <v>166</v>
      </c>
      <c r="G73">
        <v>36.33</v>
      </c>
      <c r="H73">
        <v>0.35799999999999998</v>
      </c>
      <c r="I73">
        <v>113</v>
      </c>
      <c r="J73">
        <v>77.3</v>
      </c>
      <c r="K73" t="b">
        <v>0</v>
      </c>
      <c r="L73">
        <v>0</v>
      </c>
      <c r="M73" t="s">
        <v>35</v>
      </c>
      <c r="N73">
        <v>16</v>
      </c>
      <c r="O73">
        <v>11</v>
      </c>
      <c r="P73">
        <v>134</v>
      </c>
      <c r="Q73" t="b">
        <v>0</v>
      </c>
      <c r="R73">
        <v>0</v>
      </c>
      <c r="S73">
        <v>807.22891566265002</v>
      </c>
      <c r="T73" t="s">
        <v>28</v>
      </c>
      <c r="U73">
        <v>0</v>
      </c>
      <c r="V73">
        <v>4</v>
      </c>
      <c r="W73">
        <v>2</v>
      </c>
    </row>
    <row r="74" spans="1:23">
      <c r="A74" s="1">
        <v>45396</v>
      </c>
      <c r="B74" t="s">
        <v>101</v>
      </c>
      <c r="C74" t="s">
        <v>52</v>
      </c>
      <c r="D74" t="s">
        <v>25</v>
      </c>
      <c r="E74" t="s">
        <v>38</v>
      </c>
      <c r="F74">
        <v>295</v>
      </c>
      <c r="G74">
        <v>22.52</v>
      </c>
      <c r="H74">
        <v>0.83299999999999996</v>
      </c>
      <c r="I74">
        <v>115</v>
      </c>
      <c r="J74">
        <v>48.68</v>
      </c>
      <c r="K74" t="b">
        <v>0</v>
      </c>
      <c r="L74">
        <v>2</v>
      </c>
      <c r="M74" t="s">
        <v>28</v>
      </c>
      <c r="N74">
        <v>6</v>
      </c>
      <c r="O74">
        <v>7</v>
      </c>
      <c r="P74">
        <v>184</v>
      </c>
      <c r="Q74" t="b">
        <v>0</v>
      </c>
      <c r="R74">
        <v>6.7796610169491496</v>
      </c>
      <c r="S74">
        <v>623.72881355932202</v>
      </c>
      <c r="T74" t="s">
        <v>28</v>
      </c>
      <c r="U74">
        <v>1</v>
      </c>
      <c r="V74">
        <v>4</v>
      </c>
      <c r="W74">
        <v>2</v>
      </c>
    </row>
    <row r="75" spans="1:23">
      <c r="A75" s="1">
        <v>45396</v>
      </c>
      <c r="B75" t="s">
        <v>101</v>
      </c>
      <c r="C75" t="s">
        <v>53</v>
      </c>
      <c r="D75" t="s">
        <v>30</v>
      </c>
      <c r="E75" t="s">
        <v>47</v>
      </c>
      <c r="F75">
        <v>105</v>
      </c>
      <c r="G75">
        <v>19.07</v>
      </c>
      <c r="H75">
        <v>0.66800000000000004</v>
      </c>
      <c r="I75">
        <v>200</v>
      </c>
      <c r="J75">
        <v>51.84</v>
      </c>
      <c r="K75" t="b">
        <v>0</v>
      </c>
      <c r="L75">
        <v>0</v>
      </c>
      <c r="M75" t="s">
        <v>35</v>
      </c>
      <c r="N75">
        <v>14</v>
      </c>
      <c r="O75">
        <v>10</v>
      </c>
      <c r="P75">
        <v>250</v>
      </c>
      <c r="Q75" t="b">
        <v>0</v>
      </c>
      <c r="R75">
        <v>0</v>
      </c>
      <c r="S75">
        <v>2380.9523809523798</v>
      </c>
      <c r="T75" t="s">
        <v>27</v>
      </c>
      <c r="U75">
        <v>1</v>
      </c>
      <c r="V75">
        <v>4</v>
      </c>
      <c r="W75">
        <v>2</v>
      </c>
    </row>
    <row r="76" spans="1:23">
      <c r="A76" s="1">
        <v>45396</v>
      </c>
      <c r="B76" t="s">
        <v>101</v>
      </c>
      <c r="C76" t="s">
        <v>54</v>
      </c>
      <c r="D76" t="s">
        <v>33</v>
      </c>
      <c r="E76" t="s">
        <v>26</v>
      </c>
      <c r="F76">
        <v>513</v>
      </c>
      <c r="G76">
        <v>13.2</v>
      </c>
      <c r="H76">
        <v>0.23899999999999999</v>
      </c>
      <c r="I76">
        <v>61</v>
      </c>
      <c r="J76">
        <v>66.709999999999994</v>
      </c>
      <c r="K76" t="b">
        <v>0</v>
      </c>
      <c r="L76">
        <v>0</v>
      </c>
      <c r="M76" t="s">
        <v>35</v>
      </c>
      <c r="N76">
        <v>6</v>
      </c>
      <c r="O76">
        <v>7</v>
      </c>
      <c r="P76">
        <v>101</v>
      </c>
      <c r="Q76" t="b">
        <v>0</v>
      </c>
      <c r="R76">
        <v>0</v>
      </c>
      <c r="S76">
        <v>196.88109161793301</v>
      </c>
      <c r="T76" t="s">
        <v>27</v>
      </c>
      <c r="U76">
        <v>0</v>
      </c>
      <c r="V76">
        <v>4</v>
      </c>
      <c r="W76">
        <v>2</v>
      </c>
    </row>
    <row r="77" spans="1:23">
      <c r="A77" s="1">
        <v>45396</v>
      </c>
      <c r="B77" t="s">
        <v>101</v>
      </c>
      <c r="C77" t="s">
        <v>55</v>
      </c>
      <c r="D77" t="s">
        <v>37</v>
      </c>
      <c r="E77" t="s">
        <v>31</v>
      </c>
      <c r="F77">
        <v>128</v>
      </c>
      <c r="G77">
        <v>25.52</v>
      </c>
      <c r="H77">
        <v>0.61799999999999999</v>
      </c>
      <c r="I77">
        <v>35</v>
      </c>
      <c r="J77">
        <v>87.74</v>
      </c>
      <c r="K77" t="b">
        <v>0</v>
      </c>
      <c r="L77">
        <v>1</v>
      </c>
      <c r="M77" t="s">
        <v>27</v>
      </c>
      <c r="N77">
        <v>9</v>
      </c>
      <c r="O77">
        <v>3</v>
      </c>
      <c r="P77">
        <v>79</v>
      </c>
      <c r="Q77" t="b">
        <v>0</v>
      </c>
      <c r="R77">
        <v>7.8125</v>
      </c>
      <c r="S77">
        <v>617.1875</v>
      </c>
      <c r="T77" t="s">
        <v>28</v>
      </c>
      <c r="U77">
        <v>0</v>
      </c>
      <c r="V77">
        <v>4</v>
      </c>
      <c r="W77">
        <v>2</v>
      </c>
    </row>
    <row r="78" spans="1:23">
      <c r="A78" s="1">
        <v>45396</v>
      </c>
      <c r="B78" t="s">
        <v>101</v>
      </c>
      <c r="C78" t="s">
        <v>56</v>
      </c>
      <c r="D78" t="s">
        <v>41</v>
      </c>
      <c r="E78" t="s">
        <v>47</v>
      </c>
      <c r="F78">
        <v>146</v>
      </c>
      <c r="G78">
        <v>31.56</v>
      </c>
      <c r="H78">
        <v>0.78300000000000003</v>
      </c>
      <c r="I78">
        <v>95</v>
      </c>
      <c r="J78">
        <v>87.48</v>
      </c>
      <c r="K78" t="b">
        <v>0</v>
      </c>
      <c r="L78">
        <v>1</v>
      </c>
      <c r="M78" t="s">
        <v>27</v>
      </c>
      <c r="Q78" t="b">
        <v>0</v>
      </c>
      <c r="R78">
        <v>6.8493150684931496</v>
      </c>
      <c r="T78" t="s">
        <v>28</v>
      </c>
      <c r="U78">
        <v>0</v>
      </c>
      <c r="V78">
        <v>4</v>
      </c>
      <c r="W78">
        <v>2</v>
      </c>
    </row>
    <row r="79" spans="1:23">
      <c r="A79" s="1">
        <v>45396</v>
      </c>
      <c r="B79" t="s">
        <v>101</v>
      </c>
      <c r="C79" t="s">
        <v>57</v>
      </c>
      <c r="D79" t="s">
        <v>43</v>
      </c>
      <c r="E79" t="s">
        <v>26</v>
      </c>
      <c r="F79">
        <v>243</v>
      </c>
      <c r="G79">
        <v>14.6</v>
      </c>
      <c r="H79">
        <v>0.05</v>
      </c>
      <c r="I79">
        <v>70</v>
      </c>
      <c r="J79">
        <v>43.03</v>
      </c>
      <c r="K79" t="b">
        <v>0</v>
      </c>
      <c r="L79">
        <v>0</v>
      </c>
      <c r="M79" t="s">
        <v>35</v>
      </c>
      <c r="N79">
        <v>10</v>
      </c>
      <c r="O79">
        <v>11</v>
      </c>
      <c r="P79">
        <v>114</v>
      </c>
      <c r="Q79" t="b">
        <v>0</v>
      </c>
      <c r="R79">
        <v>0</v>
      </c>
      <c r="S79">
        <v>469.135802469135</v>
      </c>
      <c r="T79" t="s">
        <v>27</v>
      </c>
      <c r="U79">
        <v>1</v>
      </c>
      <c r="V79">
        <v>4</v>
      </c>
      <c r="W79">
        <v>2</v>
      </c>
    </row>
    <row r="80" spans="1:23">
      <c r="A80" s="1">
        <v>45396</v>
      </c>
      <c r="B80" t="s">
        <v>101</v>
      </c>
      <c r="C80" t="s">
        <v>58</v>
      </c>
      <c r="D80" t="s">
        <v>25</v>
      </c>
      <c r="E80" t="s">
        <v>31</v>
      </c>
      <c r="F80">
        <v>725</v>
      </c>
      <c r="G80">
        <v>35.229999999999997</v>
      </c>
      <c r="H80">
        <v>0.34699999999999998</v>
      </c>
      <c r="I80">
        <v>155</v>
      </c>
      <c r="J80">
        <v>38.47</v>
      </c>
      <c r="K80" t="b">
        <v>0</v>
      </c>
      <c r="L80">
        <v>2</v>
      </c>
      <c r="M80" t="s">
        <v>27</v>
      </c>
      <c r="N80">
        <v>12</v>
      </c>
      <c r="O80">
        <v>5</v>
      </c>
      <c r="P80">
        <v>242</v>
      </c>
      <c r="Q80" t="b">
        <v>0</v>
      </c>
      <c r="R80">
        <v>2.7586206896551699</v>
      </c>
      <c r="S80">
        <v>333.79310344827502</v>
      </c>
      <c r="T80" t="s">
        <v>28</v>
      </c>
      <c r="U80">
        <v>1</v>
      </c>
      <c r="V80">
        <v>4</v>
      </c>
      <c r="W80">
        <v>2</v>
      </c>
    </row>
    <row r="81" spans="1:23">
      <c r="A81" s="1">
        <v>45396</v>
      </c>
      <c r="B81" t="s">
        <v>101</v>
      </c>
      <c r="C81" t="s">
        <v>59</v>
      </c>
      <c r="D81" t="s">
        <v>30</v>
      </c>
      <c r="E81" t="s">
        <v>34</v>
      </c>
      <c r="F81">
        <v>193</v>
      </c>
      <c r="G81">
        <v>33.61</v>
      </c>
      <c r="H81">
        <v>0.05</v>
      </c>
      <c r="I81">
        <v>76</v>
      </c>
      <c r="J81">
        <v>76.95</v>
      </c>
      <c r="K81" t="b">
        <v>0</v>
      </c>
      <c r="L81">
        <v>1</v>
      </c>
      <c r="M81" t="s">
        <v>39</v>
      </c>
      <c r="N81">
        <v>13</v>
      </c>
      <c r="O81">
        <v>11</v>
      </c>
      <c r="P81">
        <v>93</v>
      </c>
      <c r="Q81" t="b">
        <v>0</v>
      </c>
      <c r="R81">
        <v>5.18134715025906</v>
      </c>
      <c r="S81">
        <v>481.86528497409302</v>
      </c>
      <c r="T81" t="s">
        <v>28</v>
      </c>
      <c r="U81">
        <v>0</v>
      </c>
      <c r="V81">
        <v>4</v>
      </c>
      <c r="W81">
        <v>2</v>
      </c>
    </row>
    <row r="82" spans="1:23">
      <c r="A82" s="1">
        <v>45396</v>
      </c>
      <c r="B82" t="s">
        <v>101</v>
      </c>
      <c r="C82" t="s">
        <v>60</v>
      </c>
      <c r="D82" t="s">
        <v>33</v>
      </c>
      <c r="E82" t="s">
        <v>26</v>
      </c>
      <c r="F82">
        <v>225</v>
      </c>
      <c r="G82">
        <v>43.29</v>
      </c>
      <c r="H82">
        <v>0.64100000000000001</v>
      </c>
      <c r="I82">
        <v>152</v>
      </c>
      <c r="J82">
        <v>68.87</v>
      </c>
      <c r="K82" t="b">
        <v>0</v>
      </c>
      <c r="L82">
        <v>3</v>
      </c>
      <c r="M82" t="s">
        <v>28</v>
      </c>
      <c r="N82">
        <v>16</v>
      </c>
      <c r="O82">
        <v>8</v>
      </c>
      <c r="P82">
        <v>196</v>
      </c>
      <c r="Q82" t="b">
        <v>0</v>
      </c>
      <c r="R82">
        <v>13.3333333333333</v>
      </c>
      <c r="S82">
        <v>871.11111111111097</v>
      </c>
      <c r="T82" t="s">
        <v>39</v>
      </c>
      <c r="U82">
        <v>0</v>
      </c>
      <c r="V82">
        <v>4</v>
      </c>
      <c r="W82">
        <v>2</v>
      </c>
    </row>
    <row r="83" spans="1:23">
      <c r="A83" s="1">
        <v>45396</v>
      </c>
      <c r="B83" t="s">
        <v>101</v>
      </c>
      <c r="C83" t="s">
        <v>61</v>
      </c>
      <c r="D83" t="s">
        <v>37</v>
      </c>
      <c r="E83" t="s">
        <v>31</v>
      </c>
      <c r="F83">
        <v>80</v>
      </c>
      <c r="G83">
        <v>28.83</v>
      </c>
      <c r="H83">
        <v>0.626</v>
      </c>
      <c r="I83">
        <v>57</v>
      </c>
      <c r="J83">
        <v>40.1</v>
      </c>
      <c r="K83" t="b">
        <v>0</v>
      </c>
      <c r="L83">
        <v>0</v>
      </c>
      <c r="M83" t="s">
        <v>35</v>
      </c>
      <c r="N83">
        <v>10</v>
      </c>
      <c r="O83">
        <v>11</v>
      </c>
      <c r="P83">
        <v>73</v>
      </c>
      <c r="Q83" t="b">
        <v>0</v>
      </c>
      <c r="R83">
        <v>0</v>
      </c>
      <c r="S83">
        <v>912.5</v>
      </c>
      <c r="T83" t="s">
        <v>28</v>
      </c>
      <c r="U83">
        <v>1</v>
      </c>
      <c r="V83">
        <v>4</v>
      </c>
      <c r="W83">
        <v>2</v>
      </c>
    </row>
    <row r="84" spans="1:23">
      <c r="A84" s="1">
        <v>45396</v>
      </c>
      <c r="B84" t="s">
        <v>101</v>
      </c>
      <c r="C84" t="s">
        <v>62</v>
      </c>
      <c r="D84" t="s">
        <v>41</v>
      </c>
      <c r="E84" t="s">
        <v>34</v>
      </c>
      <c r="F84">
        <v>331</v>
      </c>
      <c r="G84">
        <v>16.760000000000002</v>
      </c>
      <c r="H84">
        <v>0.76400000000000001</v>
      </c>
      <c r="I84">
        <v>196</v>
      </c>
      <c r="J84">
        <v>44.89</v>
      </c>
      <c r="K84" t="b">
        <v>0</v>
      </c>
      <c r="L84">
        <v>1</v>
      </c>
      <c r="M84" t="s">
        <v>27</v>
      </c>
      <c r="N84">
        <v>12</v>
      </c>
      <c r="O84">
        <v>8</v>
      </c>
      <c r="P84">
        <v>253</v>
      </c>
      <c r="Q84" t="b">
        <v>0</v>
      </c>
      <c r="R84">
        <v>3.0211480362537699</v>
      </c>
      <c r="S84">
        <v>764.35045317220499</v>
      </c>
      <c r="T84" t="s">
        <v>27</v>
      </c>
      <c r="U84">
        <v>1</v>
      </c>
      <c r="V84">
        <v>4</v>
      </c>
      <c r="W84">
        <v>2</v>
      </c>
    </row>
    <row r="85" spans="1:23">
      <c r="A85" s="1">
        <v>45396</v>
      </c>
      <c r="B85" t="s">
        <v>101</v>
      </c>
      <c r="C85" t="s">
        <v>63</v>
      </c>
      <c r="D85" t="s">
        <v>43</v>
      </c>
      <c r="E85" t="s">
        <v>38</v>
      </c>
      <c r="F85">
        <v>168</v>
      </c>
      <c r="G85">
        <v>30</v>
      </c>
      <c r="H85">
        <v>0.17</v>
      </c>
      <c r="I85">
        <v>43</v>
      </c>
      <c r="J85">
        <v>68.13</v>
      </c>
      <c r="K85" t="b">
        <v>0</v>
      </c>
      <c r="L85">
        <v>2</v>
      </c>
      <c r="M85" t="s">
        <v>39</v>
      </c>
      <c r="N85">
        <v>17</v>
      </c>
      <c r="O85">
        <v>10</v>
      </c>
      <c r="P85">
        <v>75</v>
      </c>
      <c r="Q85" t="b">
        <v>0</v>
      </c>
      <c r="R85">
        <v>11.9047619047619</v>
      </c>
      <c r="S85">
        <v>446.42857142857099</v>
      </c>
      <c r="T85" t="s">
        <v>28</v>
      </c>
      <c r="U85">
        <v>0</v>
      </c>
      <c r="V85">
        <v>4</v>
      </c>
      <c r="W85">
        <v>2</v>
      </c>
    </row>
    <row r="86" spans="1:23">
      <c r="A86" s="1">
        <v>45396</v>
      </c>
      <c r="B86" t="s">
        <v>101</v>
      </c>
      <c r="C86" t="s">
        <v>64</v>
      </c>
      <c r="D86" t="s">
        <v>25</v>
      </c>
      <c r="E86" t="s">
        <v>31</v>
      </c>
      <c r="F86">
        <v>292</v>
      </c>
      <c r="G86">
        <v>19.420000000000002</v>
      </c>
      <c r="H86">
        <v>0.17299999999999999</v>
      </c>
      <c r="I86">
        <v>23</v>
      </c>
      <c r="J86">
        <v>39.32</v>
      </c>
      <c r="K86" t="b">
        <v>0</v>
      </c>
      <c r="L86">
        <v>2</v>
      </c>
      <c r="M86" t="s">
        <v>28</v>
      </c>
      <c r="N86">
        <v>9</v>
      </c>
      <c r="O86">
        <v>2</v>
      </c>
      <c r="P86">
        <v>16</v>
      </c>
      <c r="Q86" t="b">
        <v>0</v>
      </c>
      <c r="R86">
        <v>6.8493150684931496</v>
      </c>
      <c r="S86">
        <v>54.794520547945197</v>
      </c>
      <c r="T86" t="s">
        <v>27</v>
      </c>
      <c r="U86">
        <v>1</v>
      </c>
      <c r="V86">
        <v>4</v>
      </c>
      <c r="W86">
        <v>2</v>
      </c>
    </row>
    <row r="87" spans="1:23">
      <c r="A87" s="1">
        <v>45396</v>
      </c>
      <c r="B87" t="s">
        <v>101</v>
      </c>
      <c r="C87" t="s">
        <v>65</v>
      </c>
      <c r="D87" t="s">
        <v>30</v>
      </c>
      <c r="E87" t="s">
        <v>34</v>
      </c>
      <c r="F87">
        <v>521</v>
      </c>
      <c r="G87">
        <v>21.09</v>
      </c>
      <c r="H87">
        <v>0.33100000000000002</v>
      </c>
      <c r="I87">
        <v>110</v>
      </c>
      <c r="J87">
        <v>79.349999999999994</v>
      </c>
      <c r="K87" t="b">
        <v>0</v>
      </c>
      <c r="L87">
        <v>0</v>
      </c>
      <c r="M87" t="s">
        <v>35</v>
      </c>
      <c r="N87">
        <v>11</v>
      </c>
      <c r="O87">
        <v>5</v>
      </c>
      <c r="P87">
        <v>138</v>
      </c>
      <c r="Q87" t="b">
        <v>0</v>
      </c>
      <c r="R87">
        <v>0</v>
      </c>
      <c r="S87">
        <v>264.875239923224</v>
      </c>
      <c r="T87" t="s">
        <v>28</v>
      </c>
      <c r="U87">
        <v>0</v>
      </c>
      <c r="V87">
        <v>4</v>
      </c>
      <c r="W87">
        <v>2</v>
      </c>
    </row>
    <row r="88" spans="1:23">
      <c r="A88" s="1">
        <v>45396</v>
      </c>
      <c r="B88" t="s">
        <v>101</v>
      </c>
      <c r="C88" t="s">
        <v>66</v>
      </c>
      <c r="D88" t="s">
        <v>33</v>
      </c>
      <c r="E88" t="s">
        <v>38</v>
      </c>
      <c r="F88">
        <v>80</v>
      </c>
      <c r="G88">
        <v>47.96</v>
      </c>
      <c r="H88">
        <v>0.41</v>
      </c>
      <c r="I88">
        <v>165</v>
      </c>
      <c r="J88">
        <v>84.84</v>
      </c>
      <c r="K88" t="b">
        <v>0</v>
      </c>
      <c r="L88">
        <v>2</v>
      </c>
      <c r="M88" t="s">
        <v>27</v>
      </c>
      <c r="N88">
        <v>16</v>
      </c>
      <c r="O88">
        <v>4</v>
      </c>
      <c r="P88">
        <v>226</v>
      </c>
      <c r="Q88" t="b">
        <v>0</v>
      </c>
      <c r="R88">
        <v>25</v>
      </c>
      <c r="S88">
        <v>2825</v>
      </c>
      <c r="T88" t="s">
        <v>39</v>
      </c>
      <c r="U88">
        <v>0</v>
      </c>
      <c r="V88">
        <v>4</v>
      </c>
      <c r="W88">
        <v>2</v>
      </c>
    </row>
    <row r="89" spans="1:23">
      <c r="A89" s="1">
        <v>45396</v>
      </c>
      <c r="B89" t="s">
        <v>101</v>
      </c>
      <c r="C89" t="s">
        <v>67</v>
      </c>
      <c r="D89" t="s">
        <v>37</v>
      </c>
      <c r="E89" t="s">
        <v>47</v>
      </c>
      <c r="F89">
        <v>166</v>
      </c>
      <c r="G89">
        <v>15.57</v>
      </c>
      <c r="H89">
        <v>0.66800000000000004</v>
      </c>
      <c r="I89">
        <v>142</v>
      </c>
      <c r="J89">
        <v>60.54</v>
      </c>
      <c r="K89" t="b">
        <v>0</v>
      </c>
      <c r="L89">
        <v>1</v>
      </c>
      <c r="M89" t="s">
        <v>28</v>
      </c>
      <c r="N89">
        <v>16</v>
      </c>
      <c r="O89">
        <v>6</v>
      </c>
      <c r="P89">
        <v>190</v>
      </c>
      <c r="Q89" t="b">
        <v>0</v>
      </c>
      <c r="R89">
        <v>6.0240963855421601</v>
      </c>
      <c r="S89">
        <v>1144.57831325301</v>
      </c>
      <c r="T89" t="s">
        <v>27</v>
      </c>
      <c r="U89">
        <v>0</v>
      </c>
      <c r="V89">
        <v>4</v>
      </c>
      <c r="W89">
        <v>2</v>
      </c>
    </row>
    <row r="90" spans="1:23">
      <c r="A90" s="1">
        <v>45396</v>
      </c>
      <c r="B90" t="s">
        <v>101</v>
      </c>
      <c r="C90" t="s">
        <v>68</v>
      </c>
      <c r="D90" t="s">
        <v>41</v>
      </c>
      <c r="E90" t="s">
        <v>34</v>
      </c>
      <c r="F90">
        <v>391</v>
      </c>
      <c r="G90">
        <v>20.74</v>
      </c>
      <c r="H90">
        <v>0.45</v>
      </c>
      <c r="I90">
        <v>82</v>
      </c>
      <c r="J90">
        <v>94.8</v>
      </c>
      <c r="K90" t="b">
        <v>0</v>
      </c>
      <c r="L90">
        <v>1</v>
      </c>
      <c r="M90" t="s">
        <v>28</v>
      </c>
      <c r="N90">
        <v>11</v>
      </c>
      <c r="O90">
        <v>7</v>
      </c>
      <c r="P90">
        <v>102</v>
      </c>
      <c r="Q90" t="b">
        <v>0</v>
      </c>
      <c r="R90">
        <v>2.5575447570332401</v>
      </c>
      <c r="S90">
        <v>260.86956521739103</v>
      </c>
      <c r="T90" t="s">
        <v>28</v>
      </c>
      <c r="U90">
        <v>0</v>
      </c>
      <c r="V90">
        <v>4</v>
      </c>
      <c r="W90">
        <v>2</v>
      </c>
    </row>
    <row r="91" spans="1:23">
      <c r="A91" s="1">
        <v>45396</v>
      </c>
      <c r="B91" t="s">
        <v>101</v>
      </c>
      <c r="C91" t="s">
        <v>69</v>
      </c>
      <c r="D91" t="s">
        <v>43</v>
      </c>
      <c r="E91" t="s">
        <v>38</v>
      </c>
      <c r="F91">
        <v>432</v>
      </c>
      <c r="G91">
        <v>46.76</v>
      </c>
      <c r="H91">
        <v>0.74399999999999999</v>
      </c>
      <c r="I91">
        <v>88</v>
      </c>
      <c r="J91">
        <v>97.66</v>
      </c>
      <c r="K91" t="b">
        <v>0</v>
      </c>
      <c r="L91">
        <v>1</v>
      </c>
      <c r="M91" t="s">
        <v>27</v>
      </c>
      <c r="N91">
        <v>20</v>
      </c>
      <c r="O91">
        <v>5</v>
      </c>
      <c r="P91">
        <v>169</v>
      </c>
      <c r="Q91" t="b">
        <v>0</v>
      </c>
      <c r="R91">
        <v>2.31481481481481</v>
      </c>
      <c r="S91">
        <v>391.20370370370301</v>
      </c>
      <c r="T91" t="s">
        <v>39</v>
      </c>
      <c r="U91">
        <v>0</v>
      </c>
      <c r="V91">
        <v>4</v>
      </c>
      <c r="W91">
        <v>2</v>
      </c>
    </row>
    <row r="92" spans="1:23">
      <c r="A92" s="1">
        <v>45396</v>
      </c>
      <c r="B92" t="s">
        <v>101</v>
      </c>
      <c r="C92" t="s">
        <v>70</v>
      </c>
      <c r="D92" t="s">
        <v>25</v>
      </c>
      <c r="E92" t="s">
        <v>47</v>
      </c>
      <c r="F92">
        <v>246</v>
      </c>
      <c r="G92">
        <v>27.78</v>
      </c>
      <c r="H92">
        <v>0.68100000000000005</v>
      </c>
      <c r="I92">
        <v>118</v>
      </c>
      <c r="J92">
        <v>80.349999999999994</v>
      </c>
      <c r="K92" t="b">
        <v>0</v>
      </c>
      <c r="L92">
        <v>0</v>
      </c>
      <c r="M92" t="s">
        <v>35</v>
      </c>
      <c r="N92">
        <v>8</v>
      </c>
      <c r="O92">
        <v>10</v>
      </c>
      <c r="P92">
        <v>161</v>
      </c>
      <c r="Q92" t="b">
        <v>0</v>
      </c>
      <c r="R92">
        <v>0</v>
      </c>
      <c r="S92">
        <v>654.47154471544695</v>
      </c>
      <c r="T92" t="s">
        <v>28</v>
      </c>
      <c r="U92">
        <v>0</v>
      </c>
      <c r="V92">
        <v>4</v>
      </c>
      <c r="W92">
        <v>2</v>
      </c>
    </row>
    <row r="93" spans="1:23">
      <c r="A93" s="1">
        <v>45396</v>
      </c>
      <c r="B93" t="s">
        <v>101</v>
      </c>
      <c r="C93" t="s">
        <v>71</v>
      </c>
      <c r="D93" t="s">
        <v>30</v>
      </c>
      <c r="E93" t="s">
        <v>26</v>
      </c>
      <c r="F93">
        <v>116</v>
      </c>
      <c r="G93">
        <v>51.36</v>
      </c>
      <c r="H93">
        <v>0.755</v>
      </c>
      <c r="I93">
        <v>60</v>
      </c>
      <c r="J93">
        <v>50.39</v>
      </c>
      <c r="K93" t="b">
        <v>0</v>
      </c>
      <c r="L93">
        <v>1</v>
      </c>
      <c r="M93" t="s">
        <v>39</v>
      </c>
      <c r="N93">
        <v>8</v>
      </c>
      <c r="O93">
        <v>11</v>
      </c>
      <c r="P93">
        <v>85</v>
      </c>
      <c r="Q93" t="b">
        <v>0</v>
      </c>
      <c r="R93">
        <v>8.6206896551724093</v>
      </c>
      <c r="S93">
        <v>732.758620689655</v>
      </c>
      <c r="T93" t="s">
        <v>39</v>
      </c>
      <c r="U93">
        <v>1</v>
      </c>
      <c r="V93">
        <v>4</v>
      </c>
      <c r="W93">
        <v>2</v>
      </c>
    </row>
    <row r="94" spans="1:23">
      <c r="A94" s="1">
        <v>45396</v>
      </c>
      <c r="B94" t="s">
        <v>101</v>
      </c>
      <c r="C94" t="s">
        <v>72</v>
      </c>
      <c r="D94" t="s">
        <v>33</v>
      </c>
      <c r="E94" t="s">
        <v>38</v>
      </c>
      <c r="F94">
        <v>128</v>
      </c>
      <c r="G94">
        <v>40</v>
      </c>
      <c r="H94">
        <v>0.51900000000000002</v>
      </c>
      <c r="I94">
        <v>39</v>
      </c>
      <c r="J94">
        <v>96.15</v>
      </c>
      <c r="K94" t="b">
        <v>0</v>
      </c>
      <c r="L94">
        <v>0</v>
      </c>
      <c r="M94" t="s">
        <v>35</v>
      </c>
      <c r="N94">
        <v>11</v>
      </c>
      <c r="O94">
        <v>2</v>
      </c>
      <c r="P94">
        <v>29</v>
      </c>
      <c r="Q94" t="b">
        <v>0</v>
      </c>
      <c r="R94">
        <v>0</v>
      </c>
      <c r="S94">
        <v>226.5625</v>
      </c>
      <c r="T94" t="s">
        <v>28</v>
      </c>
      <c r="U94">
        <v>0</v>
      </c>
      <c r="V94">
        <v>4</v>
      </c>
      <c r="W94">
        <v>2</v>
      </c>
    </row>
    <row r="95" spans="1:23">
      <c r="A95" s="1">
        <v>45396</v>
      </c>
      <c r="B95" t="s">
        <v>101</v>
      </c>
      <c r="C95" t="s">
        <v>73</v>
      </c>
      <c r="D95" t="s">
        <v>37</v>
      </c>
      <c r="E95" t="s">
        <v>47</v>
      </c>
      <c r="F95">
        <v>132</v>
      </c>
      <c r="G95">
        <v>14.77</v>
      </c>
      <c r="H95">
        <v>0.66500000000000004</v>
      </c>
      <c r="I95">
        <v>117</v>
      </c>
      <c r="J95">
        <v>34.19</v>
      </c>
      <c r="K95" t="b">
        <v>0</v>
      </c>
      <c r="L95">
        <v>0</v>
      </c>
      <c r="M95" t="s">
        <v>35</v>
      </c>
      <c r="N95">
        <v>9</v>
      </c>
      <c r="O95">
        <v>8</v>
      </c>
      <c r="P95">
        <v>146</v>
      </c>
      <c r="Q95" t="b">
        <v>0</v>
      </c>
      <c r="R95">
        <v>0</v>
      </c>
      <c r="S95">
        <v>1106.0606060606001</v>
      </c>
      <c r="T95" t="s">
        <v>27</v>
      </c>
      <c r="U95">
        <v>1</v>
      </c>
      <c r="V95">
        <v>4</v>
      </c>
      <c r="W95">
        <v>2</v>
      </c>
    </row>
    <row r="96" spans="1:23">
      <c r="A96" s="1">
        <v>45396</v>
      </c>
      <c r="B96" t="s">
        <v>101</v>
      </c>
      <c r="C96" t="s">
        <v>74</v>
      </c>
      <c r="D96" t="s">
        <v>41</v>
      </c>
      <c r="E96" t="s">
        <v>26</v>
      </c>
      <c r="F96">
        <v>225</v>
      </c>
      <c r="G96">
        <v>24.7</v>
      </c>
      <c r="H96">
        <v>0.70099999999999996</v>
      </c>
      <c r="I96">
        <v>108</v>
      </c>
      <c r="J96">
        <v>76.45</v>
      </c>
      <c r="K96" t="b">
        <v>0</v>
      </c>
      <c r="L96">
        <v>1</v>
      </c>
      <c r="M96" t="s">
        <v>27</v>
      </c>
      <c r="N96">
        <v>15</v>
      </c>
      <c r="O96">
        <v>1</v>
      </c>
      <c r="P96">
        <v>114</v>
      </c>
      <c r="Q96" t="b">
        <v>0</v>
      </c>
      <c r="R96">
        <v>4.4444444444444402</v>
      </c>
      <c r="S96">
        <v>506.666666666666</v>
      </c>
      <c r="T96" t="s">
        <v>28</v>
      </c>
      <c r="U96">
        <v>0</v>
      </c>
      <c r="V96">
        <v>4</v>
      </c>
      <c r="W96">
        <v>2</v>
      </c>
    </row>
    <row r="97" spans="1:23">
      <c r="A97" s="1">
        <v>45396</v>
      </c>
      <c r="B97" t="s">
        <v>101</v>
      </c>
      <c r="C97" t="s">
        <v>75</v>
      </c>
      <c r="D97" t="s">
        <v>43</v>
      </c>
      <c r="E97" t="s">
        <v>31</v>
      </c>
      <c r="F97">
        <v>262</v>
      </c>
      <c r="G97">
        <v>45.34</v>
      </c>
      <c r="H97">
        <v>0.629</v>
      </c>
      <c r="I97">
        <v>182</v>
      </c>
      <c r="J97">
        <v>52.19</v>
      </c>
      <c r="K97" t="b">
        <v>0</v>
      </c>
      <c r="L97">
        <v>1</v>
      </c>
      <c r="M97" t="s">
        <v>28</v>
      </c>
      <c r="N97">
        <v>17</v>
      </c>
      <c r="O97">
        <v>7</v>
      </c>
      <c r="P97">
        <v>228</v>
      </c>
      <c r="Q97" t="b">
        <v>0</v>
      </c>
      <c r="R97">
        <v>3.8167938931297698</v>
      </c>
      <c r="S97">
        <v>870.229007633587</v>
      </c>
      <c r="T97" t="s">
        <v>39</v>
      </c>
      <c r="U97">
        <v>1</v>
      </c>
      <c r="V97">
        <v>4</v>
      </c>
      <c r="W97">
        <v>2</v>
      </c>
    </row>
    <row r="98" spans="1:23">
      <c r="A98" s="1">
        <v>45396</v>
      </c>
      <c r="B98" t="s">
        <v>101</v>
      </c>
      <c r="C98" t="s">
        <v>76</v>
      </c>
      <c r="D98" t="s">
        <v>25</v>
      </c>
      <c r="E98" t="s">
        <v>47</v>
      </c>
      <c r="F98">
        <v>220</v>
      </c>
      <c r="G98">
        <v>25.71</v>
      </c>
      <c r="H98">
        <v>0.1</v>
      </c>
      <c r="I98">
        <v>47</v>
      </c>
      <c r="J98">
        <v>56.27</v>
      </c>
      <c r="K98" t="b">
        <v>0</v>
      </c>
      <c r="L98">
        <v>1</v>
      </c>
      <c r="M98" t="s">
        <v>27</v>
      </c>
      <c r="N98">
        <v>13</v>
      </c>
      <c r="O98">
        <v>2</v>
      </c>
      <c r="P98">
        <v>129</v>
      </c>
      <c r="Q98" t="b">
        <v>0</v>
      </c>
      <c r="R98">
        <v>4.5454545454545396</v>
      </c>
      <c r="S98">
        <v>586.36363636363603</v>
      </c>
      <c r="T98" t="s">
        <v>28</v>
      </c>
      <c r="U98">
        <v>1</v>
      </c>
      <c r="V98">
        <v>4</v>
      </c>
      <c r="W98">
        <v>2</v>
      </c>
    </row>
    <row r="99" spans="1:23">
      <c r="A99" s="1">
        <v>45396</v>
      </c>
      <c r="B99" t="s">
        <v>101</v>
      </c>
      <c r="C99" t="s">
        <v>77</v>
      </c>
      <c r="D99" t="s">
        <v>30</v>
      </c>
      <c r="E99" t="s">
        <v>26</v>
      </c>
      <c r="F99">
        <v>217</v>
      </c>
      <c r="G99">
        <v>28.57</v>
      </c>
      <c r="H99">
        <v>0.115</v>
      </c>
      <c r="I99">
        <v>38</v>
      </c>
      <c r="J99">
        <v>29.7</v>
      </c>
      <c r="K99" t="b">
        <v>0</v>
      </c>
      <c r="L99">
        <v>1</v>
      </c>
      <c r="M99" t="s">
        <v>39</v>
      </c>
      <c r="N99">
        <v>10</v>
      </c>
      <c r="O99">
        <v>12</v>
      </c>
      <c r="P99">
        <v>28</v>
      </c>
      <c r="Q99" t="b">
        <v>0</v>
      </c>
      <c r="R99">
        <v>4.6082949308755703</v>
      </c>
      <c r="S99">
        <v>129.03225806451599</v>
      </c>
      <c r="T99" t="s">
        <v>28</v>
      </c>
      <c r="U99">
        <v>1</v>
      </c>
      <c r="V99">
        <v>4</v>
      </c>
      <c r="W99">
        <v>2</v>
      </c>
    </row>
    <row r="100" spans="1:23">
      <c r="A100" s="1">
        <v>45396</v>
      </c>
      <c r="B100" t="s">
        <v>101</v>
      </c>
      <c r="C100" t="s">
        <v>78</v>
      </c>
      <c r="D100" t="s">
        <v>33</v>
      </c>
      <c r="E100" t="s">
        <v>31</v>
      </c>
      <c r="F100">
        <v>243</v>
      </c>
      <c r="G100">
        <v>40.65</v>
      </c>
      <c r="H100">
        <v>0.51300000000000001</v>
      </c>
      <c r="I100">
        <v>111</v>
      </c>
      <c r="J100">
        <v>89.75</v>
      </c>
      <c r="K100" t="b">
        <v>0</v>
      </c>
      <c r="L100">
        <v>1</v>
      </c>
      <c r="M100" t="s">
        <v>28</v>
      </c>
      <c r="N100">
        <v>14</v>
      </c>
      <c r="O100">
        <v>8</v>
      </c>
      <c r="P100">
        <v>135</v>
      </c>
      <c r="Q100" t="b">
        <v>0</v>
      </c>
      <c r="R100">
        <v>4.1152263374485596</v>
      </c>
      <c r="S100">
        <v>555.55555555555497</v>
      </c>
      <c r="T100" t="s">
        <v>39</v>
      </c>
      <c r="U100">
        <v>0</v>
      </c>
      <c r="V100">
        <v>4</v>
      </c>
      <c r="W100">
        <v>2</v>
      </c>
    </row>
    <row r="101" spans="1:23">
      <c r="A101" s="1">
        <v>45396</v>
      </c>
      <c r="B101" t="s">
        <v>101</v>
      </c>
      <c r="C101" t="s">
        <v>79</v>
      </c>
      <c r="D101" t="s">
        <v>37</v>
      </c>
      <c r="E101" t="s">
        <v>34</v>
      </c>
      <c r="F101">
        <v>129</v>
      </c>
      <c r="G101">
        <v>41.28</v>
      </c>
      <c r="H101">
        <v>0.42699999999999999</v>
      </c>
      <c r="I101">
        <v>0</v>
      </c>
      <c r="J101">
        <v>77.08</v>
      </c>
      <c r="K101" t="b">
        <v>0</v>
      </c>
      <c r="L101">
        <v>0</v>
      </c>
      <c r="M101" t="s">
        <v>35</v>
      </c>
      <c r="N101">
        <v>8</v>
      </c>
      <c r="O101">
        <v>5</v>
      </c>
      <c r="P101">
        <v>1</v>
      </c>
      <c r="Q101" t="b">
        <v>0</v>
      </c>
      <c r="R101">
        <v>0</v>
      </c>
      <c r="S101">
        <v>7.75193798449612</v>
      </c>
      <c r="T101" t="s">
        <v>39</v>
      </c>
      <c r="U101">
        <v>0</v>
      </c>
      <c r="V101">
        <v>4</v>
      </c>
      <c r="W101">
        <v>2</v>
      </c>
    </row>
    <row r="102" spans="1:23">
      <c r="A102" s="1">
        <v>45396</v>
      </c>
      <c r="B102" t="s">
        <v>101</v>
      </c>
      <c r="C102" t="s">
        <v>80</v>
      </c>
      <c r="D102" t="s">
        <v>41</v>
      </c>
      <c r="E102" t="s">
        <v>26</v>
      </c>
      <c r="F102">
        <v>203</v>
      </c>
      <c r="G102">
        <v>23.9</v>
      </c>
      <c r="H102">
        <v>0.71199999999999997</v>
      </c>
      <c r="I102">
        <v>143</v>
      </c>
      <c r="J102">
        <v>100</v>
      </c>
      <c r="K102" t="b">
        <v>0</v>
      </c>
      <c r="L102">
        <v>0</v>
      </c>
      <c r="M102" t="s">
        <v>35</v>
      </c>
      <c r="N102">
        <v>19</v>
      </c>
      <c r="O102">
        <v>3</v>
      </c>
      <c r="P102">
        <v>187</v>
      </c>
      <c r="Q102" t="b">
        <v>0</v>
      </c>
      <c r="R102">
        <v>0</v>
      </c>
      <c r="S102">
        <v>921.18226600985201</v>
      </c>
      <c r="T102" t="s">
        <v>28</v>
      </c>
      <c r="U102">
        <v>0</v>
      </c>
      <c r="V102">
        <v>4</v>
      </c>
      <c r="W102">
        <v>2</v>
      </c>
    </row>
    <row r="103" spans="1:23">
      <c r="A103" s="1">
        <v>45396</v>
      </c>
      <c r="B103" t="s">
        <v>101</v>
      </c>
      <c r="C103" t="s">
        <v>81</v>
      </c>
      <c r="D103" t="s">
        <v>43</v>
      </c>
      <c r="E103" t="s">
        <v>31</v>
      </c>
      <c r="F103">
        <v>80</v>
      </c>
      <c r="G103">
        <v>44.34</v>
      </c>
      <c r="H103">
        <v>0.68300000000000005</v>
      </c>
      <c r="I103">
        <v>21</v>
      </c>
      <c r="J103">
        <v>67.55</v>
      </c>
      <c r="K103" t="b">
        <v>0</v>
      </c>
      <c r="L103">
        <v>0</v>
      </c>
      <c r="M103" t="s">
        <v>35</v>
      </c>
      <c r="N103">
        <v>7</v>
      </c>
      <c r="O103">
        <v>3</v>
      </c>
      <c r="P103">
        <v>9</v>
      </c>
      <c r="Q103" t="b">
        <v>0</v>
      </c>
      <c r="R103">
        <v>0</v>
      </c>
      <c r="S103">
        <v>112.5</v>
      </c>
      <c r="T103" t="s">
        <v>39</v>
      </c>
      <c r="U103">
        <v>0</v>
      </c>
      <c r="V103">
        <v>4</v>
      </c>
      <c r="W103">
        <v>2</v>
      </c>
    </row>
    <row r="104" spans="1:23">
      <c r="A104" s="1">
        <v>45396</v>
      </c>
      <c r="B104" t="s">
        <v>101</v>
      </c>
      <c r="C104" t="s">
        <v>82</v>
      </c>
      <c r="D104" t="s">
        <v>25</v>
      </c>
      <c r="E104" t="s">
        <v>34</v>
      </c>
      <c r="F104">
        <v>125</v>
      </c>
      <c r="G104">
        <v>26.2</v>
      </c>
      <c r="H104">
        <v>0.56999999999999995</v>
      </c>
      <c r="I104">
        <v>191</v>
      </c>
      <c r="J104">
        <v>94.36</v>
      </c>
      <c r="K104" t="b">
        <v>0</v>
      </c>
      <c r="L104">
        <v>0</v>
      </c>
      <c r="M104" t="s">
        <v>35</v>
      </c>
      <c r="N104">
        <v>10</v>
      </c>
      <c r="O104">
        <v>2</v>
      </c>
      <c r="P104">
        <v>240</v>
      </c>
      <c r="Q104" t="b">
        <v>0</v>
      </c>
      <c r="R104">
        <v>0</v>
      </c>
      <c r="S104">
        <v>1920</v>
      </c>
      <c r="T104" t="s">
        <v>28</v>
      </c>
      <c r="U104">
        <v>0</v>
      </c>
      <c r="V104">
        <v>4</v>
      </c>
      <c r="W104">
        <v>2</v>
      </c>
    </row>
    <row r="105" spans="1:23">
      <c r="A105" s="1">
        <v>45396</v>
      </c>
      <c r="B105" t="s">
        <v>101</v>
      </c>
      <c r="C105" t="s">
        <v>83</v>
      </c>
      <c r="D105" t="s">
        <v>30</v>
      </c>
      <c r="E105" t="s">
        <v>38</v>
      </c>
      <c r="F105">
        <v>304</v>
      </c>
      <c r="G105">
        <v>42.09</v>
      </c>
      <c r="H105">
        <v>0.45300000000000001</v>
      </c>
      <c r="I105">
        <v>200</v>
      </c>
      <c r="J105">
        <v>88.31</v>
      </c>
      <c r="K105" t="b">
        <v>0</v>
      </c>
      <c r="L105">
        <v>0</v>
      </c>
      <c r="M105" t="s">
        <v>35</v>
      </c>
      <c r="N105">
        <v>9</v>
      </c>
      <c r="O105">
        <v>3</v>
      </c>
      <c r="P105">
        <v>279</v>
      </c>
      <c r="Q105" t="b">
        <v>0</v>
      </c>
      <c r="R105">
        <v>0</v>
      </c>
      <c r="S105">
        <v>917.76315789473597</v>
      </c>
      <c r="T105" t="s">
        <v>39</v>
      </c>
      <c r="U105">
        <v>0</v>
      </c>
      <c r="V105">
        <v>4</v>
      </c>
      <c r="W105">
        <v>2</v>
      </c>
    </row>
    <row r="106" spans="1:23">
      <c r="A106" s="1">
        <v>45396</v>
      </c>
      <c r="B106" t="s">
        <v>101</v>
      </c>
      <c r="C106" t="s">
        <v>84</v>
      </c>
      <c r="D106" t="s">
        <v>33</v>
      </c>
      <c r="E106" t="s">
        <v>31</v>
      </c>
      <c r="F106">
        <v>261</v>
      </c>
      <c r="G106">
        <v>24.97</v>
      </c>
      <c r="H106">
        <v>0.45800000000000002</v>
      </c>
      <c r="I106">
        <v>49</v>
      </c>
      <c r="J106">
        <v>65.260000000000005</v>
      </c>
      <c r="K106" t="b">
        <v>0</v>
      </c>
      <c r="L106">
        <v>2</v>
      </c>
      <c r="M106" t="s">
        <v>44</v>
      </c>
      <c r="N106">
        <v>15</v>
      </c>
      <c r="O106">
        <v>1</v>
      </c>
      <c r="P106">
        <v>26</v>
      </c>
      <c r="Q106" t="b">
        <v>0</v>
      </c>
      <c r="R106">
        <v>7.6628352490421401</v>
      </c>
      <c r="S106">
        <v>99.616858237547802</v>
      </c>
      <c r="T106" t="s">
        <v>28</v>
      </c>
      <c r="U106">
        <v>0</v>
      </c>
      <c r="V106">
        <v>4</v>
      </c>
      <c r="W106">
        <v>2</v>
      </c>
    </row>
    <row r="107" spans="1:23">
      <c r="A107" s="1">
        <v>45396</v>
      </c>
      <c r="B107" t="s">
        <v>101</v>
      </c>
      <c r="C107" t="s">
        <v>86</v>
      </c>
      <c r="D107" t="s">
        <v>37</v>
      </c>
      <c r="E107" t="s">
        <v>34</v>
      </c>
      <c r="F107">
        <v>405</v>
      </c>
      <c r="G107">
        <v>17.09</v>
      </c>
      <c r="H107">
        <v>0.70699999999999996</v>
      </c>
      <c r="I107">
        <v>137</v>
      </c>
      <c r="J107">
        <v>52.05</v>
      </c>
      <c r="K107" t="b">
        <v>0</v>
      </c>
      <c r="L107">
        <v>2</v>
      </c>
      <c r="M107" t="s">
        <v>28</v>
      </c>
      <c r="N107">
        <v>11</v>
      </c>
      <c r="O107">
        <v>4</v>
      </c>
      <c r="P107">
        <v>196</v>
      </c>
      <c r="Q107" t="b">
        <v>0</v>
      </c>
      <c r="R107">
        <v>4.9382716049382704</v>
      </c>
      <c r="S107">
        <v>483.95061728395001</v>
      </c>
      <c r="T107" t="s">
        <v>27</v>
      </c>
      <c r="U107">
        <v>1</v>
      </c>
      <c r="V107">
        <v>4</v>
      </c>
      <c r="W107">
        <v>2</v>
      </c>
    </row>
    <row r="108" spans="1:23">
      <c r="A108" s="1">
        <v>45396</v>
      </c>
      <c r="B108" t="s">
        <v>101</v>
      </c>
      <c r="C108" t="s">
        <v>87</v>
      </c>
      <c r="D108" t="s">
        <v>41</v>
      </c>
      <c r="E108" t="s">
        <v>38</v>
      </c>
      <c r="F108">
        <v>83</v>
      </c>
      <c r="G108">
        <v>40.1</v>
      </c>
      <c r="H108">
        <v>0.15</v>
      </c>
      <c r="I108">
        <v>134</v>
      </c>
      <c r="J108">
        <v>62.23</v>
      </c>
      <c r="K108" t="b">
        <v>0</v>
      </c>
      <c r="L108">
        <v>1</v>
      </c>
      <c r="M108" t="s">
        <v>27</v>
      </c>
      <c r="N108">
        <v>17</v>
      </c>
      <c r="O108">
        <v>8</v>
      </c>
      <c r="P108">
        <v>188</v>
      </c>
      <c r="Q108" t="b">
        <v>0</v>
      </c>
      <c r="R108">
        <v>12.048192771084301</v>
      </c>
      <c r="S108">
        <v>2265.06024096385</v>
      </c>
      <c r="T108" t="s">
        <v>39</v>
      </c>
      <c r="U108">
        <v>0</v>
      </c>
      <c r="V108">
        <v>4</v>
      </c>
      <c r="W108">
        <v>2</v>
      </c>
    </row>
    <row r="109" spans="1:23">
      <c r="A109" s="1">
        <v>45396</v>
      </c>
      <c r="B109" t="s">
        <v>101</v>
      </c>
      <c r="C109" t="s">
        <v>88</v>
      </c>
      <c r="D109" t="s">
        <v>43</v>
      </c>
      <c r="E109" t="s">
        <v>47</v>
      </c>
      <c r="F109">
        <v>306</v>
      </c>
      <c r="G109">
        <v>48.84</v>
      </c>
      <c r="H109">
        <v>0.73599999999999999</v>
      </c>
      <c r="I109">
        <v>96</v>
      </c>
      <c r="J109">
        <v>43.8</v>
      </c>
      <c r="K109" t="b">
        <v>0</v>
      </c>
      <c r="L109">
        <v>0</v>
      </c>
      <c r="M109" t="s">
        <v>35</v>
      </c>
      <c r="N109">
        <v>12</v>
      </c>
      <c r="O109">
        <v>5</v>
      </c>
      <c r="P109">
        <v>162</v>
      </c>
      <c r="Q109" t="b">
        <v>0</v>
      </c>
      <c r="R109">
        <v>0</v>
      </c>
      <c r="S109">
        <v>529.41176470588198</v>
      </c>
      <c r="T109" t="s">
        <v>39</v>
      </c>
      <c r="U109">
        <v>1</v>
      </c>
      <c r="V109">
        <v>4</v>
      </c>
      <c r="W109">
        <v>2</v>
      </c>
    </row>
    <row r="110" spans="1:23">
      <c r="A110" s="1">
        <v>45396</v>
      </c>
      <c r="B110" t="s">
        <v>101</v>
      </c>
      <c r="C110" t="s">
        <v>89</v>
      </c>
      <c r="D110" t="s">
        <v>25</v>
      </c>
      <c r="E110" t="s">
        <v>34</v>
      </c>
      <c r="F110">
        <v>112</v>
      </c>
      <c r="G110">
        <v>5.19</v>
      </c>
      <c r="H110">
        <v>0.82599999999999996</v>
      </c>
      <c r="I110">
        <v>214</v>
      </c>
      <c r="J110">
        <v>46.49</v>
      </c>
      <c r="K110" t="b">
        <v>0</v>
      </c>
      <c r="L110">
        <v>1</v>
      </c>
      <c r="M110" t="s">
        <v>27</v>
      </c>
      <c r="N110">
        <v>8</v>
      </c>
      <c r="O110">
        <v>2</v>
      </c>
      <c r="P110">
        <v>260</v>
      </c>
      <c r="Q110" t="b">
        <v>0</v>
      </c>
      <c r="R110">
        <v>8.9285714285714199</v>
      </c>
      <c r="S110">
        <v>2321.4285714285702</v>
      </c>
      <c r="T110" t="s">
        <v>27</v>
      </c>
      <c r="U110">
        <v>1</v>
      </c>
      <c r="V110">
        <v>4</v>
      </c>
      <c r="W110">
        <v>2</v>
      </c>
    </row>
    <row r="111" spans="1:23">
      <c r="A111" s="1">
        <v>45396</v>
      </c>
      <c r="B111" t="s">
        <v>101</v>
      </c>
      <c r="C111" t="s">
        <v>90</v>
      </c>
      <c r="D111" t="s">
        <v>30</v>
      </c>
      <c r="E111" t="s">
        <v>38</v>
      </c>
      <c r="F111">
        <v>291</v>
      </c>
      <c r="G111">
        <v>40.1</v>
      </c>
      <c r="H111">
        <v>0.436</v>
      </c>
      <c r="I111">
        <v>165</v>
      </c>
      <c r="J111">
        <v>35.15</v>
      </c>
      <c r="K111" t="b">
        <v>0</v>
      </c>
      <c r="L111">
        <v>1</v>
      </c>
      <c r="M111" t="s">
        <v>28</v>
      </c>
      <c r="N111">
        <v>17</v>
      </c>
      <c r="O111">
        <v>8</v>
      </c>
      <c r="P111">
        <v>219</v>
      </c>
      <c r="Q111" t="b">
        <v>0</v>
      </c>
      <c r="R111">
        <v>3.4364261168384802</v>
      </c>
      <c r="S111">
        <v>752.57731958762895</v>
      </c>
      <c r="T111" t="s">
        <v>39</v>
      </c>
      <c r="U111">
        <v>1</v>
      </c>
      <c r="V111">
        <v>4</v>
      </c>
      <c r="W111">
        <v>2</v>
      </c>
    </row>
    <row r="112" spans="1:23">
      <c r="A112" s="1">
        <v>45396</v>
      </c>
      <c r="B112" t="s">
        <v>101</v>
      </c>
      <c r="C112" t="s">
        <v>91</v>
      </c>
      <c r="D112" t="s">
        <v>33</v>
      </c>
      <c r="E112" t="s">
        <v>47</v>
      </c>
      <c r="F112">
        <v>80</v>
      </c>
      <c r="G112">
        <v>30.63</v>
      </c>
      <c r="H112">
        <v>0.313</v>
      </c>
      <c r="I112">
        <v>194</v>
      </c>
      <c r="J112">
        <v>57.66</v>
      </c>
      <c r="K112" t="b">
        <v>0</v>
      </c>
      <c r="L112">
        <v>2</v>
      </c>
      <c r="M112" t="s">
        <v>27</v>
      </c>
      <c r="N112">
        <v>16</v>
      </c>
      <c r="O112">
        <v>8</v>
      </c>
      <c r="P112">
        <v>235</v>
      </c>
      <c r="Q112" t="b">
        <v>0</v>
      </c>
      <c r="R112">
        <v>25</v>
      </c>
      <c r="S112">
        <v>2937.5</v>
      </c>
      <c r="T112" t="s">
        <v>28</v>
      </c>
      <c r="U112">
        <v>1</v>
      </c>
      <c r="V112">
        <v>4</v>
      </c>
      <c r="W112">
        <v>2</v>
      </c>
    </row>
    <row r="113" spans="1:23">
      <c r="A113" s="1">
        <v>45396</v>
      </c>
      <c r="B113" t="s">
        <v>101</v>
      </c>
      <c r="C113" t="s">
        <v>92</v>
      </c>
      <c r="D113" t="s">
        <v>37</v>
      </c>
      <c r="E113" t="s">
        <v>26</v>
      </c>
      <c r="F113">
        <v>131</v>
      </c>
      <c r="G113">
        <v>45.65</v>
      </c>
      <c r="H113">
        <v>0.57399999999999995</v>
      </c>
      <c r="I113">
        <v>190</v>
      </c>
      <c r="J113">
        <v>56.99</v>
      </c>
      <c r="K113" t="b">
        <v>0</v>
      </c>
      <c r="L113">
        <v>3</v>
      </c>
      <c r="M113" t="s">
        <v>28</v>
      </c>
      <c r="N113">
        <v>16</v>
      </c>
      <c r="O113">
        <v>4</v>
      </c>
      <c r="P113">
        <v>283</v>
      </c>
      <c r="Q113" t="b">
        <v>0</v>
      </c>
      <c r="R113">
        <v>22.900763358778601</v>
      </c>
      <c r="S113">
        <v>2160.3053435114498</v>
      </c>
      <c r="T113" t="s">
        <v>39</v>
      </c>
      <c r="U113">
        <v>1</v>
      </c>
      <c r="V113">
        <v>4</v>
      </c>
      <c r="W113">
        <v>2</v>
      </c>
    </row>
    <row r="114" spans="1:23">
      <c r="A114" s="1">
        <v>45396</v>
      </c>
      <c r="B114" t="s">
        <v>101</v>
      </c>
      <c r="C114" t="s">
        <v>93</v>
      </c>
      <c r="D114" t="s">
        <v>41</v>
      </c>
      <c r="E114" t="s">
        <v>38</v>
      </c>
      <c r="F114">
        <v>163</v>
      </c>
      <c r="G114">
        <v>4.9000000000000004</v>
      </c>
      <c r="H114">
        <v>0.96899999999999997</v>
      </c>
      <c r="I114">
        <v>156</v>
      </c>
      <c r="J114">
        <v>83.24</v>
      </c>
      <c r="K114" t="b">
        <v>0</v>
      </c>
      <c r="L114">
        <v>0</v>
      </c>
      <c r="M114" t="s">
        <v>35</v>
      </c>
      <c r="N114">
        <v>12</v>
      </c>
      <c r="O114">
        <v>6</v>
      </c>
      <c r="P114">
        <v>171</v>
      </c>
      <c r="Q114" t="b">
        <v>0</v>
      </c>
      <c r="R114">
        <v>0</v>
      </c>
      <c r="S114">
        <v>1049.07975460122</v>
      </c>
      <c r="T114" t="s">
        <v>27</v>
      </c>
      <c r="U114">
        <v>0</v>
      </c>
      <c r="V114">
        <v>4</v>
      </c>
      <c r="W114">
        <v>2</v>
      </c>
    </row>
    <row r="115" spans="1:23">
      <c r="A115" s="1">
        <v>45396</v>
      </c>
      <c r="B115" t="s">
        <v>101</v>
      </c>
      <c r="C115" t="s">
        <v>94</v>
      </c>
      <c r="D115" t="s">
        <v>43</v>
      </c>
      <c r="E115" t="s">
        <v>47</v>
      </c>
      <c r="F115">
        <v>80</v>
      </c>
      <c r="G115">
        <v>28.46</v>
      </c>
      <c r="H115">
        <v>0.77800000000000002</v>
      </c>
      <c r="I115">
        <v>103</v>
      </c>
      <c r="J115">
        <v>54.34</v>
      </c>
      <c r="K115" t="b">
        <v>0</v>
      </c>
      <c r="L115">
        <v>0</v>
      </c>
      <c r="M115" t="s">
        <v>35</v>
      </c>
      <c r="N115">
        <v>19</v>
      </c>
      <c r="O115">
        <v>5</v>
      </c>
      <c r="P115">
        <v>155</v>
      </c>
      <c r="Q115" t="b">
        <v>0</v>
      </c>
      <c r="R115">
        <v>0</v>
      </c>
      <c r="S115">
        <v>1937.5</v>
      </c>
      <c r="T115" t="s">
        <v>28</v>
      </c>
      <c r="U115">
        <v>1</v>
      </c>
      <c r="V115">
        <v>4</v>
      </c>
      <c r="W115">
        <v>2</v>
      </c>
    </row>
    <row r="116" spans="1:23">
      <c r="A116" s="1">
        <v>45396</v>
      </c>
      <c r="B116" t="s">
        <v>101</v>
      </c>
      <c r="C116" t="s">
        <v>95</v>
      </c>
      <c r="D116" t="s">
        <v>25</v>
      </c>
      <c r="E116" t="s">
        <v>26</v>
      </c>
      <c r="F116">
        <v>112</v>
      </c>
      <c r="G116">
        <v>9.58</v>
      </c>
      <c r="H116">
        <v>0.75</v>
      </c>
      <c r="I116">
        <v>61</v>
      </c>
      <c r="J116">
        <v>84.59</v>
      </c>
      <c r="K116" t="b">
        <v>0</v>
      </c>
      <c r="L116">
        <v>1</v>
      </c>
      <c r="M116" t="s">
        <v>27</v>
      </c>
      <c r="N116">
        <v>10</v>
      </c>
      <c r="O116">
        <v>5</v>
      </c>
      <c r="P116">
        <v>79</v>
      </c>
      <c r="Q116" t="b">
        <v>0</v>
      </c>
      <c r="R116">
        <v>8.9285714285714199</v>
      </c>
      <c r="S116">
        <v>705.35714285714198</v>
      </c>
      <c r="T116" t="s">
        <v>27</v>
      </c>
      <c r="U116">
        <v>0</v>
      </c>
      <c r="V116">
        <v>4</v>
      </c>
      <c r="W116">
        <v>2</v>
      </c>
    </row>
    <row r="117" spans="1:23">
      <c r="A117" s="1">
        <v>45396</v>
      </c>
      <c r="B117" t="s">
        <v>101</v>
      </c>
      <c r="C117" t="s">
        <v>96</v>
      </c>
      <c r="D117" t="s">
        <v>30</v>
      </c>
      <c r="E117" t="s">
        <v>31</v>
      </c>
      <c r="F117">
        <v>582</v>
      </c>
      <c r="G117">
        <v>5.01</v>
      </c>
      <c r="H117">
        <v>5.7000000000000002E-2</v>
      </c>
      <c r="I117">
        <v>193</v>
      </c>
      <c r="J117">
        <v>81.93</v>
      </c>
      <c r="K117" t="b">
        <v>0</v>
      </c>
      <c r="L117">
        <v>0</v>
      </c>
      <c r="M117" t="s">
        <v>35</v>
      </c>
      <c r="N117">
        <v>11</v>
      </c>
      <c r="O117">
        <v>3</v>
      </c>
      <c r="P117">
        <v>209</v>
      </c>
      <c r="Q117" t="b">
        <v>0</v>
      </c>
      <c r="R117">
        <v>0</v>
      </c>
      <c r="S117">
        <v>359.10652920962201</v>
      </c>
      <c r="T117" t="s">
        <v>27</v>
      </c>
      <c r="U117">
        <v>0</v>
      </c>
      <c r="V117">
        <v>4</v>
      </c>
      <c r="W117">
        <v>2</v>
      </c>
    </row>
    <row r="118" spans="1:23">
      <c r="A118" s="1">
        <v>45396</v>
      </c>
      <c r="B118" t="s">
        <v>101</v>
      </c>
      <c r="C118" t="s">
        <v>97</v>
      </c>
      <c r="D118" t="s">
        <v>33</v>
      </c>
      <c r="E118" t="s">
        <v>47</v>
      </c>
      <c r="F118">
        <v>351</v>
      </c>
      <c r="G118">
        <v>34.75</v>
      </c>
      <c r="H118">
        <v>0.378</v>
      </c>
      <c r="I118">
        <v>61</v>
      </c>
      <c r="J118">
        <v>96.22</v>
      </c>
      <c r="K118" t="b">
        <v>0</v>
      </c>
      <c r="L118">
        <v>0</v>
      </c>
      <c r="M118" t="s">
        <v>35</v>
      </c>
      <c r="N118">
        <v>12</v>
      </c>
      <c r="O118">
        <v>5</v>
      </c>
      <c r="P118">
        <v>64</v>
      </c>
      <c r="Q118" t="b">
        <v>0</v>
      </c>
      <c r="R118">
        <v>0</v>
      </c>
      <c r="S118">
        <v>182.33618233618199</v>
      </c>
      <c r="T118" t="s">
        <v>28</v>
      </c>
      <c r="U118">
        <v>0</v>
      </c>
      <c r="V118">
        <v>4</v>
      </c>
      <c r="W118">
        <v>2</v>
      </c>
    </row>
    <row r="119" spans="1:23">
      <c r="A119" s="1">
        <v>45396</v>
      </c>
      <c r="B119" t="s">
        <v>101</v>
      </c>
      <c r="C119" t="s">
        <v>98</v>
      </c>
      <c r="D119" t="s">
        <v>37</v>
      </c>
      <c r="E119" t="s">
        <v>26</v>
      </c>
      <c r="F119">
        <v>244</v>
      </c>
      <c r="G119">
        <v>34.03</v>
      </c>
      <c r="H119">
        <v>0.96199999999999997</v>
      </c>
      <c r="I119">
        <v>79</v>
      </c>
      <c r="J119">
        <v>60.93</v>
      </c>
      <c r="K119" t="b">
        <v>0</v>
      </c>
      <c r="L119">
        <v>1</v>
      </c>
      <c r="M119" t="s">
        <v>27</v>
      </c>
      <c r="N119">
        <v>8</v>
      </c>
      <c r="O119">
        <v>10</v>
      </c>
      <c r="P119">
        <v>108</v>
      </c>
      <c r="Q119" t="b">
        <v>0</v>
      </c>
      <c r="R119">
        <v>4.0983606557377001</v>
      </c>
      <c r="S119">
        <v>442.62295081967198</v>
      </c>
      <c r="T119" t="s">
        <v>28</v>
      </c>
      <c r="U119">
        <v>0</v>
      </c>
      <c r="V119">
        <v>4</v>
      </c>
      <c r="W119">
        <v>2</v>
      </c>
    </row>
    <row r="120" spans="1:23">
      <c r="A120" s="1">
        <v>45396</v>
      </c>
      <c r="B120" t="s">
        <v>101</v>
      </c>
      <c r="C120" t="s">
        <v>99</v>
      </c>
      <c r="D120" t="s">
        <v>41</v>
      </c>
      <c r="E120" t="s">
        <v>31</v>
      </c>
      <c r="F120">
        <v>159</v>
      </c>
      <c r="G120">
        <v>44.04</v>
      </c>
      <c r="H120">
        <v>0.308</v>
      </c>
      <c r="I120">
        <v>114</v>
      </c>
      <c r="J120">
        <v>63.55</v>
      </c>
      <c r="K120" t="b">
        <v>0</v>
      </c>
      <c r="L120">
        <v>1</v>
      </c>
      <c r="M120" t="s">
        <v>27</v>
      </c>
      <c r="N120">
        <v>12</v>
      </c>
      <c r="O120">
        <v>5</v>
      </c>
      <c r="P120">
        <v>126</v>
      </c>
      <c r="Q120" t="b">
        <v>0</v>
      </c>
      <c r="R120">
        <v>6.2893081761006204</v>
      </c>
      <c r="S120">
        <v>792.45283018867894</v>
      </c>
      <c r="T120" t="s">
        <v>39</v>
      </c>
      <c r="U120">
        <v>0</v>
      </c>
      <c r="V120">
        <v>4</v>
      </c>
      <c r="W120">
        <v>2</v>
      </c>
    </row>
    <row r="121" spans="1:23">
      <c r="A121" s="1">
        <v>45396</v>
      </c>
      <c r="B121" t="s">
        <v>101</v>
      </c>
      <c r="C121" t="s">
        <v>100</v>
      </c>
      <c r="D121" t="s">
        <v>43</v>
      </c>
      <c r="E121" t="s">
        <v>34</v>
      </c>
      <c r="F121">
        <v>152</v>
      </c>
      <c r="G121">
        <v>27.25</v>
      </c>
      <c r="H121">
        <v>0.05</v>
      </c>
      <c r="I121">
        <v>207</v>
      </c>
      <c r="J121">
        <v>66.41</v>
      </c>
      <c r="K121" t="b">
        <v>0</v>
      </c>
      <c r="L121">
        <v>0</v>
      </c>
      <c r="M121" t="s">
        <v>35</v>
      </c>
      <c r="N121">
        <v>14</v>
      </c>
      <c r="O121">
        <v>10</v>
      </c>
      <c r="P121">
        <v>291</v>
      </c>
      <c r="Q121" t="b">
        <v>0</v>
      </c>
      <c r="R121">
        <v>0</v>
      </c>
      <c r="S121">
        <v>1914.4736842105201</v>
      </c>
      <c r="T121" t="s">
        <v>28</v>
      </c>
      <c r="U121">
        <v>0</v>
      </c>
      <c r="V121">
        <v>4</v>
      </c>
      <c r="W121">
        <v>2</v>
      </c>
    </row>
    <row r="122" spans="1:23">
      <c r="A122" s="1">
        <v>45486</v>
      </c>
      <c r="B122" t="s">
        <v>102</v>
      </c>
      <c r="C122" t="s">
        <v>24</v>
      </c>
      <c r="D122" t="s">
        <v>25</v>
      </c>
      <c r="E122" t="s">
        <v>26</v>
      </c>
      <c r="F122">
        <v>103</v>
      </c>
      <c r="G122">
        <v>68.639999999999901</v>
      </c>
      <c r="H122">
        <v>0.85599999999999998</v>
      </c>
      <c r="I122">
        <v>95</v>
      </c>
      <c r="J122">
        <v>67.61</v>
      </c>
      <c r="K122" t="b">
        <v>1</v>
      </c>
      <c r="L122">
        <v>0</v>
      </c>
      <c r="M122" t="s">
        <v>35</v>
      </c>
      <c r="N122">
        <v>6</v>
      </c>
      <c r="O122">
        <v>5</v>
      </c>
      <c r="P122">
        <v>136</v>
      </c>
      <c r="Q122" t="b">
        <v>0</v>
      </c>
      <c r="R122">
        <v>0</v>
      </c>
      <c r="S122">
        <v>1320.3883495145601</v>
      </c>
      <c r="T122" t="s">
        <v>39</v>
      </c>
      <c r="U122">
        <v>0</v>
      </c>
      <c r="V122">
        <v>7</v>
      </c>
      <c r="W122">
        <v>3</v>
      </c>
    </row>
    <row r="123" spans="1:23">
      <c r="A123" s="1">
        <v>45486</v>
      </c>
      <c r="B123" t="s">
        <v>102</v>
      </c>
      <c r="C123" t="s">
        <v>29</v>
      </c>
      <c r="D123" t="s">
        <v>30</v>
      </c>
      <c r="E123" t="s">
        <v>31</v>
      </c>
      <c r="F123">
        <v>215</v>
      </c>
      <c r="G123">
        <v>49.94</v>
      </c>
      <c r="H123">
        <v>0.47899999999999998</v>
      </c>
      <c r="I123">
        <v>88</v>
      </c>
      <c r="J123">
        <v>53.68</v>
      </c>
      <c r="K123" t="b">
        <v>0</v>
      </c>
      <c r="L123">
        <v>1</v>
      </c>
      <c r="M123" t="s">
        <v>27</v>
      </c>
      <c r="N123">
        <v>8</v>
      </c>
      <c r="O123">
        <v>11</v>
      </c>
      <c r="P123">
        <v>176</v>
      </c>
      <c r="Q123" t="b">
        <v>0</v>
      </c>
      <c r="R123">
        <v>4.6511627906976702</v>
      </c>
      <c r="S123">
        <v>818.60465116278999</v>
      </c>
      <c r="T123" t="s">
        <v>39</v>
      </c>
      <c r="U123">
        <v>1</v>
      </c>
      <c r="V123">
        <v>7</v>
      </c>
      <c r="W123">
        <v>3</v>
      </c>
    </row>
    <row r="124" spans="1:23">
      <c r="A124" s="1">
        <v>45486</v>
      </c>
      <c r="B124" t="s">
        <v>102</v>
      </c>
      <c r="C124" t="s">
        <v>32</v>
      </c>
      <c r="D124" t="s">
        <v>33</v>
      </c>
      <c r="E124" t="s">
        <v>34</v>
      </c>
      <c r="F124">
        <v>176</v>
      </c>
      <c r="G124">
        <v>37.76</v>
      </c>
      <c r="H124">
        <v>0.621</v>
      </c>
      <c r="I124">
        <v>23</v>
      </c>
      <c r="J124">
        <v>64.540000000000006</v>
      </c>
      <c r="K124" t="b">
        <v>0</v>
      </c>
      <c r="L124">
        <v>3</v>
      </c>
      <c r="M124" t="s">
        <v>44</v>
      </c>
      <c r="N124">
        <v>10</v>
      </c>
      <c r="O124">
        <v>5</v>
      </c>
      <c r="P124">
        <v>65</v>
      </c>
      <c r="Q124" t="b">
        <v>0</v>
      </c>
      <c r="R124">
        <v>17.045454545454501</v>
      </c>
      <c r="S124">
        <v>369.31818181818102</v>
      </c>
      <c r="T124" t="s">
        <v>28</v>
      </c>
      <c r="U124">
        <v>0</v>
      </c>
      <c r="V124">
        <v>7</v>
      </c>
      <c r="W124">
        <v>3</v>
      </c>
    </row>
    <row r="125" spans="1:23">
      <c r="A125" s="1">
        <v>45486</v>
      </c>
      <c r="B125" t="s">
        <v>102</v>
      </c>
      <c r="C125" t="s">
        <v>36</v>
      </c>
      <c r="D125" t="s">
        <v>37</v>
      </c>
      <c r="E125" t="s">
        <v>38</v>
      </c>
      <c r="F125">
        <v>150</v>
      </c>
      <c r="G125">
        <v>47.37</v>
      </c>
      <c r="H125">
        <v>0.14399999999999999</v>
      </c>
      <c r="I125">
        <v>109</v>
      </c>
      <c r="J125">
        <v>82.42</v>
      </c>
      <c r="K125" t="b">
        <v>0</v>
      </c>
      <c r="L125">
        <v>0</v>
      </c>
      <c r="M125" t="s">
        <v>35</v>
      </c>
      <c r="N125">
        <v>4</v>
      </c>
      <c r="O125">
        <v>3</v>
      </c>
      <c r="P125">
        <v>99</v>
      </c>
      <c r="Q125" t="b">
        <v>0</v>
      </c>
      <c r="R125">
        <v>0</v>
      </c>
      <c r="S125">
        <v>660</v>
      </c>
      <c r="T125" t="s">
        <v>39</v>
      </c>
      <c r="U125">
        <v>0</v>
      </c>
      <c r="V125">
        <v>7</v>
      </c>
      <c r="W125">
        <v>3</v>
      </c>
    </row>
    <row r="126" spans="1:23">
      <c r="A126" s="1">
        <v>45486</v>
      </c>
      <c r="B126" t="s">
        <v>102</v>
      </c>
      <c r="C126" t="s">
        <v>40</v>
      </c>
      <c r="D126" t="s">
        <v>41</v>
      </c>
      <c r="E126" t="s">
        <v>31</v>
      </c>
      <c r="F126">
        <v>235</v>
      </c>
      <c r="G126">
        <v>38.450000000000003</v>
      </c>
      <c r="H126">
        <v>0.51800000000000002</v>
      </c>
      <c r="I126">
        <v>199</v>
      </c>
      <c r="J126">
        <v>69.84</v>
      </c>
      <c r="K126" t="b">
        <v>0</v>
      </c>
      <c r="L126">
        <v>1</v>
      </c>
      <c r="M126" t="s">
        <v>28</v>
      </c>
      <c r="N126">
        <v>17</v>
      </c>
      <c r="O126">
        <v>6</v>
      </c>
      <c r="P126">
        <v>254</v>
      </c>
      <c r="Q126" t="b">
        <v>0</v>
      </c>
      <c r="R126">
        <v>4.2553191489361701</v>
      </c>
      <c r="S126">
        <v>1080.8510638297801</v>
      </c>
      <c r="T126" t="s">
        <v>28</v>
      </c>
      <c r="U126">
        <v>0</v>
      </c>
      <c r="V126">
        <v>7</v>
      </c>
      <c r="W126">
        <v>3</v>
      </c>
    </row>
    <row r="127" spans="1:23">
      <c r="A127" s="1">
        <v>45486</v>
      </c>
      <c r="B127" t="s">
        <v>102</v>
      </c>
      <c r="C127" t="s">
        <v>42</v>
      </c>
      <c r="D127" t="s">
        <v>43</v>
      </c>
      <c r="E127" t="s">
        <v>34</v>
      </c>
      <c r="F127">
        <v>333</v>
      </c>
      <c r="G127">
        <v>36.03</v>
      </c>
      <c r="H127">
        <v>0.32100000000000001</v>
      </c>
      <c r="I127">
        <v>95</v>
      </c>
      <c r="J127">
        <v>45.05</v>
      </c>
      <c r="K127" t="b">
        <v>0</v>
      </c>
      <c r="L127">
        <v>0</v>
      </c>
      <c r="M127" t="s">
        <v>35</v>
      </c>
      <c r="N127">
        <v>7</v>
      </c>
      <c r="O127">
        <v>9</v>
      </c>
      <c r="P127">
        <v>118</v>
      </c>
      <c r="Q127" t="b">
        <v>0</v>
      </c>
      <c r="R127">
        <v>0</v>
      </c>
      <c r="S127">
        <v>354.35435435435397</v>
      </c>
      <c r="T127" t="s">
        <v>28</v>
      </c>
      <c r="U127">
        <v>1</v>
      </c>
      <c r="V127">
        <v>7</v>
      </c>
      <c r="W127">
        <v>3</v>
      </c>
    </row>
    <row r="128" spans="1:23">
      <c r="A128" s="1">
        <v>45486</v>
      </c>
      <c r="B128" t="s">
        <v>102</v>
      </c>
      <c r="C128" t="s">
        <v>45</v>
      </c>
      <c r="D128" t="s">
        <v>25</v>
      </c>
      <c r="E128" t="s">
        <v>38</v>
      </c>
      <c r="F128">
        <v>199</v>
      </c>
      <c r="G128">
        <v>22.42</v>
      </c>
      <c r="H128">
        <v>0.19600000000000001</v>
      </c>
      <c r="I128">
        <v>133</v>
      </c>
      <c r="J128">
        <v>42.09</v>
      </c>
      <c r="K128" t="b">
        <v>0</v>
      </c>
      <c r="L128">
        <v>0</v>
      </c>
      <c r="M128" t="s">
        <v>35</v>
      </c>
      <c r="N128">
        <v>11</v>
      </c>
      <c r="O128">
        <v>9</v>
      </c>
      <c r="P128">
        <v>242</v>
      </c>
      <c r="Q128" t="b">
        <v>0</v>
      </c>
      <c r="R128">
        <v>0</v>
      </c>
      <c r="S128">
        <v>1216.08040201005</v>
      </c>
      <c r="T128" t="s">
        <v>28</v>
      </c>
      <c r="U128">
        <v>1</v>
      </c>
      <c r="V128">
        <v>7</v>
      </c>
      <c r="W128">
        <v>3</v>
      </c>
    </row>
    <row r="129" spans="1:23">
      <c r="A129" s="1">
        <v>45486</v>
      </c>
      <c r="B129" t="s">
        <v>102</v>
      </c>
      <c r="C129" t="s">
        <v>46</v>
      </c>
      <c r="D129" t="s">
        <v>30</v>
      </c>
      <c r="E129" t="s">
        <v>47</v>
      </c>
      <c r="F129">
        <v>104</v>
      </c>
      <c r="G129">
        <v>8.89</v>
      </c>
      <c r="H129">
        <v>0.45700000000000002</v>
      </c>
      <c r="I129">
        <v>45</v>
      </c>
      <c r="J129">
        <v>59.67</v>
      </c>
      <c r="K129" t="b">
        <v>0</v>
      </c>
      <c r="L129">
        <v>0</v>
      </c>
      <c r="M129" t="s">
        <v>35</v>
      </c>
      <c r="N129">
        <v>10</v>
      </c>
      <c r="O129">
        <v>6</v>
      </c>
      <c r="P129">
        <v>101</v>
      </c>
      <c r="Q129" t="b">
        <v>0</v>
      </c>
      <c r="R129">
        <v>0</v>
      </c>
      <c r="S129">
        <v>971.15384615384596</v>
      </c>
      <c r="T129" t="s">
        <v>27</v>
      </c>
      <c r="U129">
        <v>1</v>
      </c>
      <c r="V129">
        <v>7</v>
      </c>
      <c r="W129">
        <v>3</v>
      </c>
    </row>
    <row r="130" spans="1:23">
      <c r="A130" s="1">
        <v>45486</v>
      </c>
      <c r="B130" t="s">
        <v>102</v>
      </c>
      <c r="C130" t="s">
        <v>48</v>
      </c>
      <c r="D130" t="s">
        <v>33</v>
      </c>
      <c r="E130" t="s">
        <v>34</v>
      </c>
      <c r="F130">
        <v>250</v>
      </c>
      <c r="G130">
        <v>18.899999999999999</v>
      </c>
      <c r="H130">
        <v>0.60199999999999998</v>
      </c>
      <c r="I130">
        <v>95</v>
      </c>
      <c r="J130">
        <v>62.88</v>
      </c>
      <c r="K130" t="b">
        <v>0</v>
      </c>
      <c r="L130">
        <v>0</v>
      </c>
      <c r="M130" t="s">
        <v>35</v>
      </c>
      <c r="N130">
        <v>12</v>
      </c>
      <c r="O130">
        <v>7</v>
      </c>
      <c r="P130">
        <v>193</v>
      </c>
      <c r="Q130" t="b">
        <v>0</v>
      </c>
      <c r="R130">
        <v>0</v>
      </c>
      <c r="S130">
        <v>772</v>
      </c>
      <c r="T130" t="s">
        <v>27</v>
      </c>
      <c r="U130">
        <v>0</v>
      </c>
      <c r="V130">
        <v>7</v>
      </c>
      <c r="W130">
        <v>3</v>
      </c>
    </row>
    <row r="131" spans="1:23">
      <c r="A131" s="1">
        <v>45486</v>
      </c>
      <c r="B131" t="s">
        <v>102</v>
      </c>
      <c r="C131" t="s">
        <v>49</v>
      </c>
      <c r="D131" t="s">
        <v>37</v>
      </c>
      <c r="E131" t="s">
        <v>38</v>
      </c>
      <c r="F131">
        <v>155</v>
      </c>
      <c r="G131">
        <v>34.659999999999997</v>
      </c>
      <c r="H131">
        <v>0.44900000000000001</v>
      </c>
      <c r="I131">
        <v>184</v>
      </c>
      <c r="J131">
        <v>74.150000000000006</v>
      </c>
      <c r="K131" t="b">
        <v>0</v>
      </c>
      <c r="L131">
        <v>1</v>
      </c>
      <c r="M131" t="s">
        <v>39</v>
      </c>
      <c r="N131">
        <v>17</v>
      </c>
      <c r="O131">
        <v>9</v>
      </c>
      <c r="P131">
        <v>258</v>
      </c>
      <c r="Q131" t="b">
        <v>0</v>
      </c>
      <c r="R131">
        <v>6.4516129032257998</v>
      </c>
      <c r="S131">
        <v>1664.5161290322501</v>
      </c>
      <c r="T131" t="s">
        <v>28</v>
      </c>
      <c r="U131">
        <v>0</v>
      </c>
      <c r="V131">
        <v>7</v>
      </c>
      <c r="W131">
        <v>3</v>
      </c>
    </row>
    <row r="132" spans="1:23">
      <c r="A132" s="1">
        <v>45486</v>
      </c>
      <c r="B132" t="s">
        <v>102</v>
      </c>
      <c r="C132" t="s">
        <v>50</v>
      </c>
      <c r="D132" t="s">
        <v>41</v>
      </c>
      <c r="E132" t="s">
        <v>47</v>
      </c>
      <c r="F132">
        <v>346</v>
      </c>
      <c r="G132">
        <v>37.1</v>
      </c>
      <c r="H132">
        <v>0.32500000000000001</v>
      </c>
      <c r="I132">
        <v>2</v>
      </c>
      <c r="J132">
        <v>75.650000000000006</v>
      </c>
      <c r="K132" t="b">
        <v>0</v>
      </c>
      <c r="L132">
        <v>0</v>
      </c>
      <c r="M132" t="s">
        <v>35</v>
      </c>
      <c r="N132">
        <v>8</v>
      </c>
      <c r="O132">
        <v>11</v>
      </c>
      <c r="P132">
        <v>1</v>
      </c>
      <c r="Q132" t="b">
        <v>0</v>
      </c>
      <c r="R132">
        <v>0</v>
      </c>
      <c r="S132">
        <v>2.8901734104046199</v>
      </c>
      <c r="T132" t="s">
        <v>28</v>
      </c>
      <c r="U132">
        <v>0</v>
      </c>
      <c r="V132">
        <v>7</v>
      </c>
      <c r="W132">
        <v>3</v>
      </c>
    </row>
    <row r="133" spans="1:23">
      <c r="A133" s="1">
        <v>45486</v>
      </c>
      <c r="B133" t="s">
        <v>102</v>
      </c>
      <c r="C133" t="s">
        <v>51</v>
      </c>
      <c r="D133" t="s">
        <v>43</v>
      </c>
      <c r="E133" t="s">
        <v>26</v>
      </c>
      <c r="F133">
        <v>166</v>
      </c>
      <c r="G133">
        <v>38.44</v>
      </c>
      <c r="H133">
        <v>0.156</v>
      </c>
      <c r="I133">
        <v>105</v>
      </c>
      <c r="J133">
        <v>69.12</v>
      </c>
      <c r="K133" t="b">
        <v>0</v>
      </c>
      <c r="L133">
        <v>1</v>
      </c>
      <c r="M133" t="s">
        <v>27</v>
      </c>
      <c r="N133">
        <v>14</v>
      </c>
      <c r="O133">
        <v>11</v>
      </c>
      <c r="P133">
        <v>107</v>
      </c>
      <c r="Q133" t="b">
        <v>0</v>
      </c>
      <c r="R133">
        <v>6.0240963855421601</v>
      </c>
      <c r="S133">
        <v>644.57831325301197</v>
      </c>
      <c r="T133" t="s">
        <v>28</v>
      </c>
      <c r="U133">
        <v>0</v>
      </c>
      <c r="V133">
        <v>7</v>
      </c>
      <c r="W133">
        <v>3</v>
      </c>
    </row>
    <row r="134" spans="1:23">
      <c r="A134" s="1">
        <v>45486</v>
      </c>
      <c r="B134" t="s">
        <v>102</v>
      </c>
      <c r="C134" t="s">
        <v>52</v>
      </c>
      <c r="D134" t="s">
        <v>25</v>
      </c>
      <c r="E134" t="s">
        <v>38</v>
      </c>
      <c r="F134">
        <v>295</v>
      </c>
      <c r="G134">
        <v>27.77</v>
      </c>
      <c r="H134">
        <v>0.73499999999999999</v>
      </c>
      <c r="I134">
        <v>143</v>
      </c>
      <c r="J134">
        <v>52.5</v>
      </c>
      <c r="K134" t="b">
        <v>0</v>
      </c>
      <c r="L134">
        <v>1</v>
      </c>
      <c r="M134" t="s">
        <v>27</v>
      </c>
      <c r="N134">
        <v>17</v>
      </c>
      <c r="O134">
        <v>5</v>
      </c>
      <c r="P134">
        <v>233</v>
      </c>
      <c r="Q134" t="b">
        <v>0</v>
      </c>
      <c r="R134">
        <v>3.3898305084745699</v>
      </c>
      <c r="S134">
        <v>789.83050847457605</v>
      </c>
      <c r="T134" t="s">
        <v>28</v>
      </c>
      <c r="U134">
        <v>1</v>
      </c>
      <c r="V134">
        <v>7</v>
      </c>
      <c r="W134">
        <v>3</v>
      </c>
    </row>
    <row r="135" spans="1:23">
      <c r="A135" s="1">
        <v>45486</v>
      </c>
      <c r="B135" t="s">
        <v>102</v>
      </c>
      <c r="C135" t="s">
        <v>53</v>
      </c>
      <c r="D135" t="s">
        <v>30</v>
      </c>
      <c r="E135" t="s">
        <v>47</v>
      </c>
      <c r="F135">
        <v>105</v>
      </c>
      <c r="G135">
        <v>17.82</v>
      </c>
      <c r="H135">
        <v>0.505</v>
      </c>
      <c r="I135">
        <v>171</v>
      </c>
      <c r="J135">
        <v>57.13</v>
      </c>
      <c r="K135" t="b">
        <v>0</v>
      </c>
      <c r="L135">
        <v>1</v>
      </c>
      <c r="M135" t="s">
        <v>28</v>
      </c>
      <c r="N135">
        <v>13</v>
      </c>
      <c r="O135">
        <v>7</v>
      </c>
      <c r="P135">
        <v>273</v>
      </c>
      <c r="Q135" t="b">
        <v>0</v>
      </c>
      <c r="R135">
        <v>9.5238095238095202</v>
      </c>
      <c r="S135">
        <v>2600</v>
      </c>
      <c r="T135" t="s">
        <v>27</v>
      </c>
      <c r="U135">
        <v>1</v>
      </c>
      <c r="V135">
        <v>7</v>
      </c>
      <c r="W135">
        <v>3</v>
      </c>
    </row>
    <row r="136" spans="1:23">
      <c r="A136" s="1">
        <v>45486</v>
      </c>
      <c r="B136" t="s">
        <v>102</v>
      </c>
      <c r="C136" t="s">
        <v>54</v>
      </c>
      <c r="D136" t="s">
        <v>33</v>
      </c>
      <c r="E136" t="s">
        <v>26</v>
      </c>
      <c r="F136">
        <v>513</v>
      </c>
      <c r="G136">
        <v>19.68</v>
      </c>
      <c r="H136">
        <v>0.34599999999999997</v>
      </c>
      <c r="I136">
        <v>0</v>
      </c>
      <c r="J136">
        <v>57.09</v>
      </c>
      <c r="K136" t="b">
        <v>0</v>
      </c>
      <c r="L136">
        <v>0</v>
      </c>
      <c r="M136" t="s">
        <v>35</v>
      </c>
      <c r="N136">
        <v>5</v>
      </c>
      <c r="O136">
        <v>6</v>
      </c>
      <c r="P136">
        <v>1</v>
      </c>
      <c r="Q136" t="b">
        <v>0</v>
      </c>
      <c r="R136">
        <v>0</v>
      </c>
      <c r="S136">
        <v>1.94931773879142</v>
      </c>
      <c r="T136" t="s">
        <v>27</v>
      </c>
      <c r="U136">
        <v>1</v>
      </c>
      <c r="V136">
        <v>7</v>
      </c>
      <c r="W136">
        <v>3</v>
      </c>
    </row>
    <row r="137" spans="1:23">
      <c r="A137" s="1">
        <v>45486</v>
      </c>
      <c r="B137" t="s">
        <v>102</v>
      </c>
      <c r="C137" t="s">
        <v>55</v>
      </c>
      <c r="D137" t="s">
        <v>37</v>
      </c>
      <c r="E137" t="s">
        <v>31</v>
      </c>
      <c r="F137">
        <v>128</v>
      </c>
      <c r="G137">
        <v>29.07</v>
      </c>
      <c r="H137">
        <v>0.7</v>
      </c>
      <c r="I137">
        <v>24</v>
      </c>
      <c r="J137">
        <v>100</v>
      </c>
      <c r="K137" t="b">
        <v>0</v>
      </c>
      <c r="L137">
        <v>0</v>
      </c>
      <c r="M137" t="s">
        <v>35</v>
      </c>
      <c r="N137">
        <v>9</v>
      </c>
      <c r="O137">
        <v>3</v>
      </c>
      <c r="P137">
        <v>1</v>
      </c>
      <c r="Q137" t="b">
        <v>0</v>
      </c>
      <c r="R137">
        <v>0</v>
      </c>
      <c r="S137">
        <v>7.8125</v>
      </c>
      <c r="T137" t="s">
        <v>28</v>
      </c>
      <c r="U137">
        <v>0</v>
      </c>
      <c r="V137">
        <v>7</v>
      </c>
      <c r="W137">
        <v>3</v>
      </c>
    </row>
    <row r="138" spans="1:23">
      <c r="A138" s="1">
        <v>45486</v>
      </c>
      <c r="B138" t="s">
        <v>102</v>
      </c>
      <c r="C138" t="s">
        <v>56</v>
      </c>
      <c r="D138" t="s">
        <v>41</v>
      </c>
      <c r="E138" t="s">
        <v>47</v>
      </c>
      <c r="F138">
        <v>146</v>
      </c>
      <c r="G138">
        <v>40.869999999999997</v>
      </c>
      <c r="H138">
        <v>0.52900000000000003</v>
      </c>
      <c r="I138">
        <v>72</v>
      </c>
      <c r="J138">
        <v>98.61</v>
      </c>
      <c r="K138" t="b">
        <v>0</v>
      </c>
      <c r="L138">
        <v>0</v>
      </c>
      <c r="M138" t="s">
        <v>35</v>
      </c>
      <c r="N138">
        <v>6</v>
      </c>
      <c r="O138">
        <v>4</v>
      </c>
      <c r="P138">
        <v>105</v>
      </c>
      <c r="Q138" t="b">
        <v>0</v>
      </c>
      <c r="R138">
        <v>0</v>
      </c>
      <c r="S138">
        <v>719.17808219178005</v>
      </c>
      <c r="T138" t="s">
        <v>39</v>
      </c>
      <c r="U138">
        <v>0</v>
      </c>
      <c r="V138">
        <v>7</v>
      </c>
      <c r="W138">
        <v>3</v>
      </c>
    </row>
    <row r="139" spans="1:23">
      <c r="A139" s="1">
        <v>45486</v>
      </c>
      <c r="B139" t="s">
        <v>102</v>
      </c>
      <c r="C139" t="s">
        <v>57</v>
      </c>
      <c r="D139" t="s">
        <v>43</v>
      </c>
      <c r="E139" t="s">
        <v>26</v>
      </c>
      <c r="F139">
        <v>243</v>
      </c>
      <c r="G139">
        <v>16.440000000000001</v>
      </c>
      <c r="H139">
        <v>0.2</v>
      </c>
      <c r="I139">
        <v>70</v>
      </c>
      <c r="J139">
        <v>39.15</v>
      </c>
      <c r="K139" t="b">
        <v>0</v>
      </c>
      <c r="L139">
        <v>0</v>
      </c>
      <c r="M139" t="s">
        <v>35</v>
      </c>
      <c r="N139">
        <v>11</v>
      </c>
      <c r="O139">
        <v>11</v>
      </c>
      <c r="P139">
        <v>184</v>
      </c>
      <c r="Q139" t="b">
        <v>0</v>
      </c>
      <c r="R139">
        <v>0</v>
      </c>
      <c r="S139">
        <v>757.20164609053495</v>
      </c>
      <c r="T139" t="s">
        <v>27</v>
      </c>
      <c r="U139">
        <v>1</v>
      </c>
      <c r="V139">
        <v>7</v>
      </c>
      <c r="W139">
        <v>3</v>
      </c>
    </row>
    <row r="140" spans="1:23">
      <c r="A140" s="1">
        <v>45486</v>
      </c>
      <c r="B140" t="s">
        <v>102</v>
      </c>
      <c r="C140" t="s">
        <v>58</v>
      </c>
      <c r="D140" t="s">
        <v>25</v>
      </c>
      <c r="E140" t="s">
        <v>31</v>
      </c>
      <c r="F140">
        <v>725</v>
      </c>
      <c r="G140">
        <v>41.68</v>
      </c>
      <c r="H140">
        <v>0.27500000000000002</v>
      </c>
      <c r="I140">
        <v>117</v>
      </c>
      <c r="J140">
        <v>28.27</v>
      </c>
      <c r="K140" t="b">
        <v>0</v>
      </c>
      <c r="L140">
        <v>1</v>
      </c>
      <c r="M140" t="s">
        <v>28</v>
      </c>
      <c r="N140">
        <v>11</v>
      </c>
      <c r="O140">
        <v>7</v>
      </c>
      <c r="P140">
        <v>184</v>
      </c>
      <c r="Q140" t="b">
        <v>0</v>
      </c>
      <c r="R140">
        <v>1.3793103448275801</v>
      </c>
      <c r="S140">
        <v>253.79310344827499</v>
      </c>
      <c r="T140" t="s">
        <v>39</v>
      </c>
      <c r="U140">
        <v>1</v>
      </c>
      <c r="V140">
        <v>7</v>
      </c>
      <c r="W140">
        <v>3</v>
      </c>
    </row>
    <row r="141" spans="1:23">
      <c r="A141" s="1">
        <v>45486</v>
      </c>
      <c r="B141" t="s">
        <v>102</v>
      </c>
      <c r="C141" t="s">
        <v>59</v>
      </c>
      <c r="D141" t="s">
        <v>30</v>
      </c>
      <c r="E141" t="s">
        <v>34</v>
      </c>
      <c r="F141">
        <v>193</v>
      </c>
      <c r="G141">
        <v>32.57</v>
      </c>
      <c r="H141">
        <v>8.8999999999999996E-2</v>
      </c>
      <c r="I141">
        <v>4</v>
      </c>
      <c r="J141">
        <v>87.9</v>
      </c>
      <c r="K141" t="b">
        <v>0</v>
      </c>
      <c r="L141">
        <v>0</v>
      </c>
      <c r="M141" t="s">
        <v>35</v>
      </c>
      <c r="N141">
        <v>7</v>
      </c>
      <c r="O141">
        <v>10</v>
      </c>
      <c r="P141">
        <v>9</v>
      </c>
      <c r="Q141" t="b">
        <v>0</v>
      </c>
      <c r="R141">
        <v>0</v>
      </c>
      <c r="S141">
        <v>46.632124352331601</v>
      </c>
      <c r="T141" t="s">
        <v>28</v>
      </c>
      <c r="U141">
        <v>0</v>
      </c>
      <c r="V141">
        <v>7</v>
      </c>
      <c r="W141">
        <v>3</v>
      </c>
    </row>
    <row r="142" spans="1:23">
      <c r="A142" s="1">
        <v>45486</v>
      </c>
      <c r="B142" t="s">
        <v>102</v>
      </c>
      <c r="C142" t="s">
        <v>60</v>
      </c>
      <c r="D142" t="s">
        <v>33</v>
      </c>
      <c r="E142" t="s">
        <v>26</v>
      </c>
      <c r="F142">
        <v>225</v>
      </c>
      <c r="G142">
        <v>40.93</v>
      </c>
      <c r="H142">
        <v>0.58599999999999997</v>
      </c>
      <c r="I142">
        <v>107</v>
      </c>
      <c r="J142">
        <v>63.41</v>
      </c>
      <c r="K142" t="b">
        <v>0</v>
      </c>
      <c r="L142">
        <v>2</v>
      </c>
      <c r="M142" t="s">
        <v>28</v>
      </c>
      <c r="N142">
        <v>12</v>
      </c>
      <c r="O142">
        <v>11</v>
      </c>
      <c r="P142">
        <v>237</v>
      </c>
      <c r="Q142" t="b">
        <v>0</v>
      </c>
      <c r="R142">
        <v>8.8888888888888893</v>
      </c>
      <c r="S142">
        <v>1053.3333333333301</v>
      </c>
      <c r="T142" t="s">
        <v>39</v>
      </c>
      <c r="U142">
        <v>0</v>
      </c>
      <c r="V142">
        <v>7</v>
      </c>
      <c r="W142">
        <v>3</v>
      </c>
    </row>
    <row r="143" spans="1:23">
      <c r="A143" s="1">
        <v>45486</v>
      </c>
      <c r="B143" t="s">
        <v>102</v>
      </c>
      <c r="C143" t="s">
        <v>61</v>
      </c>
      <c r="D143" t="s">
        <v>37</v>
      </c>
      <c r="E143" t="s">
        <v>31</v>
      </c>
      <c r="F143">
        <v>80</v>
      </c>
      <c r="G143">
        <v>41.74</v>
      </c>
      <c r="H143">
        <v>0.78</v>
      </c>
      <c r="I143">
        <v>85</v>
      </c>
      <c r="J143">
        <v>49.29</v>
      </c>
      <c r="K143" t="b">
        <v>0</v>
      </c>
      <c r="L143">
        <v>1</v>
      </c>
      <c r="M143" t="s">
        <v>28</v>
      </c>
      <c r="N143">
        <v>12</v>
      </c>
      <c r="O143">
        <v>10</v>
      </c>
      <c r="P143">
        <v>76</v>
      </c>
      <c r="Q143" t="b">
        <v>0</v>
      </c>
      <c r="R143">
        <v>12.5</v>
      </c>
      <c r="S143">
        <v>950</v>
      </c>
      <c r="T143" t="s">
        <v>39</v>
      </c>
      <c r="U143">
        <v>1</v>
      </c>
      <c r="V143">
        <v>7</v>
      </c>
      <c r="W143">
        <v>3</v>
      </c>
    </row>
    <row r="144" spans="1:23">
      <c r="A144" s="1">
        <v>45486</v>
      </c>
      <c r="B144" t="s">
        <v>102</v>
      </c>
      <c r="C144" t="s">
        <v>62</v>
      </c>
      <c r="D144" t="s">
        <v>41</v>
      </c>
      <c r="E144" t="s">
        <v>34</v>
      </c>
      <c r="F144">
        <v>331</v>
      </c>
      <c r="G144">
        <v>17.87</v>
      </c>
      <c r="H144">
        <v>0.92400000000000004</v>
      </c>
      <c r="I144">
        <v>203</v>
      </c>
      <c r="J144">
        <v>45.03</v>
      </c>
      <c r="K144" t="b">
        <v>0</v>
      </c>
      <c r="L144">
        <v>2</v>
      </c>
      <c r="M144" t="s">
        <v>39</v>
      </c>
      <c r="N144">
        <v>18</v>
      </c>
      <c r="O144">
        <v>7</v>
      </c>
      <c r="P144">
        <v>243</v>
      </c>
      <c r="Q144" t="b">
        <v>0</v>
      </c>
      <c r="R144">
        <v>6.0422960725075496</v>
      </c>
      <c r="S144">
        <v>734.13897280966705</v>
      </c>
      <c r="T144" t="s">
        <v>27</v>
      </c>
      <c r="U144">
        <v>1</v>
      </c>
      <c r="V144">
        <v>7</v>
      </c>
      <c r="W144">
        <v>3</v>
      </c>
    </row>
    <row r="145" spans="1:23">
      <c r="A145" s="1">
        <v>45486</v>
      </c>
      <c r="B145" t="s">
        <v>102</v>
      </c>
      <c r="C145" t="s">
        <v>63</v>
      </c>
      <c r="D145" t="s">
        <v>43</v>
      </c>
      <c r="E145" t="s">
        <v>38</v>
      </c>
      <c r="F145">
        <v>168</v>
      </c>
      <c r="G145">
        <v>31.15</v>
      </c>
      <c r="H145">
        <v>9.1999999999999998E-2</v>
      </c>
      <c r="I145">
        <v>0</v>
      </c>
      <c r="J145">
        <v>75.78</v>
      </c>
      <c r="K145" t="b">
        <v>0</v>
      </c>
      <c r="L145">
        <v>0</v>
      </c>
      <c r="M145" t="s">
        <v>35</v>
      </c>
      <c r="N145">
        <v>7</v>
      </c>
      <c r="O145">
        <v>11</v>
      </c>
      <c r="P145">
        <v>46</v>
      </c>
      <c r="Q145" t="b">
        <v>0</v>
      </c>
      <c r="R145">
        <v>0</v>
      </c>
      <c r="S145">
        <v>273.809523809523</v>
      </c>
      <c r="T145" t="s">
        <v>28</v>
      </c>
      <c r="U145">
        <v>0</v>
      </c>
      <c r="V145">
        <v>7</v>
      </c>
      <c r="W145">
        <v>3</v>
      </c>
    </row>
    <row r="146" spans="1:23">
      <c r="A146" s="1">
        <v>45486</v>
      </c>
      <c r="B146" t="s">
        <v>102</v>
      </c>
      <c r="C146" t="s">
        <v>64</v>
      </c>
      <c r="D146" t="s">
        <v>25</v>
      </c>
      <c r="E146" t="s">
        <v>31</v>
      </c>
      <c r="F146">
        <v>292</v>
      </c>
      <c r="G146">
        <v>26.01</v>
      </c>
      <c r="H146">
        <v>0.187</v>
      </c>
      <c r="I146">
        <v>0</v>
      </c>
      <c r="J146">
        <v>45.96</v>
      </c>
      <c r="K146" t="b">
        <v>0</v>
      </c>
      <c r="L146">
        <v>0</v>
      </c>
      <c r="M146" t="s">
        <v>35</v>
      </c>
      <c r="N146">
        <v>5</v>
      </c>
      <c r="O146">
        <v>3</v>
      </c>
      <c r="P146">
        <v>37</v>
      </c>
      <c r="Q146" t="b">
        <v>0</v>
      </c>
      <c r="R146">
        <v>0</v>
      </c>
      <c r="S146">
        <v>126.712328767123</v>
      </c>
      <c r="T146" t="s">
        <v>28</v>
      </c>
      <c r="U146">
        <v>1</v>
      </c>
      <c r="V146">
        <v>7</v>
      </c>
      <c r="W146">
        <v>3</v>
      </c>
    </row>
    <row r="147" spans="1:23">
      <c r="A147" s="1">
        <v>45486</v>
      </c>
      <c r="B147" t="s">
        <v>102</v>
      </c>
      <c r="C147" t="s">
        <v>65</v>
      </c>
      <c r="D147" t="s">
        <v>30</v>
      </c>
      <c r="E147" t="s">
        <v>34</v>
      </c>
      <c r="F147">
        <v>521</v>
      </c>
      <c r="G147">
        <v>25.74</v>
      </c>
      <c r="H147">
        <v>0.41099999999999998</v>
      </c>
      <c r="I147">
        <v>62</v>
      </c>
      <c r="J147">
        <v>77.290000000000006</v>
      </c>
      <c r="K147" t="b">
        <v>0</v>
      </c>
      <c r="L147">
        <v>0</v>
      </c>
      <c r="M147" t="s">
        <v>35</v>
      </c>
      <c r="N147">
        <v>12</v>
      </c>
      <c r="O147">
        <v>3</v>
      </c>
      <c r="P147">
        <v>130</v>
      </c>
      <c r="Q147" t="b">
        <v>0</v>
      </c>
      <c r="R147">
        <v>0</v>
      </c>
      <c r="S147">
        <v>249.520153550863</v>
      </c>
      <c r="T147" t="s">
        <v>28</v>
      </c>
      <c r="U147">
        <v>0</v>
      </c>
      <c r="V147">
        <v>7</v>
      </c>
      <c r="W147">
        <v>3</v>
      </c>
    </row>
    <row r="148" spans="1:23">
      <c r="A148" s="1">
        <v>45486</v>
      </c>
      <c r="B148" t="s">
        <v>102</v>
      </c>
      <c r="C148" t="s">
        <v>66</v>
      </c>
      <c r="D148" t="s">
        <v>33</v>
      </c>
      <c r="E148" t="s">
        <v>38</v>
      </c>
      <c r="F148">
        <v>80</v>
      </c>
      <c r="G148">
        <v>40.369999999999997</v>
      </c>
      <c r="H148">
        <v>0.35799999999999998</v>
      </c>
      <c r="I148">
        <v>126</v>
      </c>
      <c r="J148">
        <v>63.9</v>
      </c>
      <c r="K148" t="b">
        <v>0</v>
      </c>
      <c r="L148">
        <v>2</v>
      </c>
      <c r="M148" t="s">
        <v>28</v>
      </c>
      <c r="N148">
        <v>11</v>
      </c>
      <c r="O148">
        <v>5</v>
      </c>
      <c r="P148">
        <v>138</v>
      </c>
      <c r="Q148" t="b">
        <v>0</v>
      </c>
      <c r="R148">
        <v>25</v>
      </c>
      <c r="S148">
        <v>1725</v>
      </c>
      <c r="T148" t="s">
        <v>39</v>
      </c>
      <c r="U148">
        <v>0</v>
      </c>
      <c r="V148">
        <v>7</v>
      </c>
      <c r="W148">
        <v>3</v>
      </c>
    </row>
    <row r="149" spans="1:23">
      <c r="A149" s="1">
        <v>45486</v>
      </c>
      <c r="B149" t="s">
        <v>102</v>
      </c>
      <c r="C149" t="s">
        <v>67</v>
      </c>
      <c r="D149" t="s">
        <v>37</v>
      </c>
      <c r="E149" t="s">
        <v>47</v>
      </c>
      <c r="F149">
        <v>166</v>
      </c>
      <c r="G149">
        <v>14.32</v>
      </c>
      <c r="H149">
        <v>0.79400000000000004</v>
      </c>
      <c r="I149">
        <v>64</v>
      </c>
      <c r="J149">
        <v>93.9</v>
      </c>
      <c r="K149" t="b">
        <v>0</v>
      </c>
      <c r="L149">
        <v>0</v>
      </c>
      <c r="M149" t="s">
        <v>35</v>
      </c>
      <c r="N149">
        <v>11</v>
      </c>
      <c r="O149">
        <v>4</v>
      </c>
      <c r="P149">
        <v>132</v>
      </c>
      <c r="Q149" t="b">
        <v>0</v>
      </c>
      <c r="R149">
        <v>0</v>
      </c>
      <c r="S149">
        <v>795.18072289156601</v>
      </c>
      <c r="T149" t="s">
        <v>27</v>
      </c>
      <c r="U149">
        <v>0</v>
      </c>
      <c r="V149">
        <v>7</v>
      </c>
      <c r="W149">
        <v>3</v>
      </c>
    </row>
    <row r="150" spans="1:23">
      <c r="A150" s="1">
        <v>45486</v>
      </c>
      <c r="B150" t="s">
        <v>102</v>
      </c>
      <c r="C150" t="s">
        <v>68</v>
      </c>
      <c r="D150" t="s">
        <v>41</v>
      </c>
      <c r="E150" t="s">
        <v>34</v>
      </c>
      <c r="F150">
        <v>391</v>
      </c>
      <c r="G150">
        <v>25.3</v>
      </c>
      <c r="H150">
        <v>0.374</v>
      </c>
      <c r="I150">
        <v>28</v>
      </c>
      <c r="J150">
        <v>88.65</v>
      </c>
      <c r="K150" t="b">
        <v>0</v>
      </c>
      <c r="L150">
        <v>1</v>
      </c>
      <c r="M150" t="s">
        <v>28</v>
      </c>
      <c r="N150">
        <v>11</v>
      </c>
      <c r="O150">
        <v>10</v>
      </c>
      <c r="P150">
        <v>50</v>
      </c>
      <c r="Q150" t="b">
        <v>0</v>
      </c>
      <c r="R150">
        <v>2.5575447570332401</v>
      </c>
      <c r="S150">
        <v>127.877237851662</v>
      </c>
      <c r="T150" t="s">
        <v>28</v>
      </c>
      <c r="U150">
        <v>0</v>
      </c>
      <c r="V150">
        <v>7</v>
      </c>
      <c r="W150">
        <v>3</v>
      </c>
    </row>
    <row r="151" spans="1:23">
      <c r="A151" s="1">
        <v>45486</v>
      </c>
      <c r="B151" t="s">
        <v>102</v>
      </c>
      <c r="C151" t="s">
        <v>69</v>
      </c>
      <c r="D151" t="s">
        <v>43</v>
      </c>
      <c r="E151" t="s">
        <v>38</v>
      </c>
      <c r="F151">
        <v>432</v>
      </c>
      <c r="G151">
        <v>32.93</v>
      </c>
      <c r="H151">
        <v>0.67600000000000005</v>
      </c>
      <c r="I151">
        <v>89</v>
      </c>
      <c r="J151">
        <v>93.78</v>
      </c>
      <c r="K151" t="b">
        <v>0</v>
      </c>
      <c r="L151">
        <v>2</v>
      </c>
      <c r="M151" t="s">
        <v>39</v>
      </c>
      <c r="N151">
        <v>13</v>
      </c>
      <c r="O151">
        <v>7</v>
      </c>
      <c r="P151">
        <v>69</v>
      </c>
      <c r="Q151" t="b">
        <v>0</v>
      </c>
      <c r="R151">
        <v>4.6296296296296298</v>
      </c>
      <c r="S151">
        <v>159.722222222222</v>
      </c>
      <c r="T151" t="s">
        <v>28</v>
      </c>
      <c r="U151">
        <v>0</v>
      </c>
      <c r="V151">
        <v>7</v>
      </c>
      <c r="W151">
        <v>3</v>
      </c>
    </row>
    <row r="152" spans="1:23">
      <c r="A152" s="1">
        <v>45486</v>
      </c>
      <c r="B152" t="s">
        <v>102</v>
      </c>
      <c r="C152" t="s">
        <v>70</v>
      </c>
      <c r="D152" t="s">
        <v>25</v>
      </c>
      <c r="E152" t="s">
        <v>47</v>
      </c>
      <c r="F152">
        <v>246</v>
      </c>
      <c r="G152">
        <v>39.14</v>
      </c>
      <c r="H152">
        <v>0.72799999999999998</v>
      </c>
      <c r="I152">
        <v>102</v>
      </c>
      <c r="J152">
        <v>100</v>
      </c>
      <c r="K152" t="b">
        <v>0</v>
      </c>
      <c r="L152">
        <v>0</v>
      </c>
      <c r="M152" t="s">
        <v>35</v>
      </c>
      <c r="N152">
        <v>8</v>
      </c>
      <c r="O152">
        <v>8</v>
      </c>
      <c r="P152">
        <v>155</v>
      </c>
      <c r="Q152" t="b">
        <v>0</v>
      </c>
      <c r="R152">
        <v>0</v>
      </c>
      <c r="S152">
        <v>630.08130081300806</v>
      </c>
      <c r="T152" t="s">
        <v>28</v>
      </c>
      <c r="U152">
        <v>0</v>
      </c>
      <c r="V152">
        <v>7</v>
      </c>
      <c r="W152">
        <v>3</v>
      </c>
    </row>
    <row r="153" spans="1:23">
      <c r="A153" s="1">
        <v>45486</v>
      </c>
      <c r="B153" t="s">
        <v>102</v>
      </c>
      <c r="C153" t="s">
        <v>71</v>
      </c>
      <c r="D153" t="s">
        <v>30</v>
      </c>
      <c r="E153" t="s">
        <v>26</v>
      </c>
      <c r="F153">
        <v>116</v>
      </c>
      <c r="G153">
        <v>40.58</v>
      </c>
      <c r="H153">
        <v>0.90300000000000002</v>
      </c>
      <c r="I153">
        <v>69</v>
      </c>
      <c r="J153">
        <v>56.05</v>
      </c>
      <c r="K153" t="b">
        <v>0</v>
      </c>
      <c r="L153">
        <v>4</v>
      </c>
      <c r="M153" t="s">
        <v>28</v>
      </c>
      <c r="N153">
        <v>12</v>
      </c>
      <c r="O153">
        <v>7</v>
      </c>
      <c r="P153">
        <v>80</v>
      </c>
      <c r="Q153" t="b">
        <v>0</v>
      </c>
      <c r="R153">
        <v>34.482758620689602</v>
      </c>
      <c r="S153">
        <v>689.65517241379303</v>
      </c>
      <c r="T153" t="s">
        <v>39</v>
      </c>
      <c r="U153">
        <v>1</v>
      </c>
      <c r="V153">
        <v>7</v>
      </c>
      <c r="W153">
        <v>3</v>
      </c>
    </row>
    <row r="154" spans="1:23">
      <c r="A154" s="1">
        <v>45486</v>
      </c>
      <c r="B154" t="s">
        <v>102</v>
      </c>
      <c r="C154" t="s">
        <v>72</v>
      </c>
      <c r="D154" t="s">
        <v>33</v>
      </c>
      <c r="E154" t="s">
        <v>38</v>
      </c>
      <c r="F154">
        <v>128</v>
      </c>
      <c r="G154">
        <v>46.89</v>
      </c>
      <c r="H154">
        <v>0.05</v>
      </c>
      <c r="I154">
        <v>60</v>
      </c>
      <c r="J154">
        <v>100</v>
      </c>
      <c r="K154" t="b">
        <v>0</v>
      </c>
      <c r="L154">
        <v>0</v>
      </c>
      <c r="M154" t="s">
        <v>35</v>
      </c>
      <c r="N154">
        <v>7</v>
      </c>
      <c r="O154">
        <v>2</v>
      </c>
      <c r="P154">
        <v>144</v>
      </c>
      <c r="Q154" t="b">
        <v>0</v>
      </c>
      <c r="R154">
        <v>0</v>
      </c>
      <c r="S154">
        <v>1125</v>
      </c>
      <c r="T154" t="s">
        <v>39</v>
      </c>
      <c r="U154">
        <v>0</v>
      </c>
      <c r="V154">
        <v>7</v>
      </c>
      <c r="W154">
        <v>3</v>
      </c>
    </row>
    <row r="155" spans="1:23">
      <c r="A155" s="1">
        <v>45486</v>
      </c>
      <c r="B155" t="s">
        <v>102</v>
      </c>
      <c r="C155" t="s">
        <v>73</v>
      </c>
      <c r="D155" t="s">
        <v>37</v>
      </c>
      <c r="E155" t="s">
        <v>47</v>
      </c>
      <c r="F155">
        <v>132</v>
      </c>
      <c r="G155">
        <v>14.5</v>
      </c>
      <c r="H155">
        <v>0.68600000000000005</v>
      </c>
      <c r="I155">
        <v>68</v>
      </c>
      <c r="J155">
        <v>23.19</v>
      </c>
      <c r="K155" t="b">
        <v>0</v>
      </c>
      <c r="L155">
        <v>0</v>
      </c>
      <c r="M155" t="s">
        <v>35</v>
      </c>
      <c r="N155">
        <v>13</v>
      </c>
      <c r="O155">
        <v>4</v>
      </c>
      <c r="P155">
        <v>78</v>
      </c>
      <c r="Q155" t="b">
        <v>0</v>
      </c>
      <c r="R155">
        <v>0</v>
      </c>
      <c r="S155">
        <v>590.90909090908997</v>
      </c>
      <c r="T155" t="s">
        <v>27</v>
      </c>
      <c r="U155">
        <v>1</v>
      </c>
      <c r="V155">
        <v>7</v>
      </c>
      <c r="W155">
        <v>3</v>
      </c>
    </row>
    <row r="156" spans="1:23">
      <c r="A156" s="1">
        <v>45486</v>
      </c>
      <c r="B156" t="s">
        <v>102</v>
      </c>
      <c r="C156" t="s">
        <v>74</v>
      </c>
      <c r="D156" t="s">
        <v>41</v>
      </c>
      <c r="E156" t="s">
        <v>26</v>
      </c>
      <c r="F156">
        <v>225</v>
      </c>
      <c r="G156">
        <v>34.26</v>
      </c>
      <c r="H156">
        <v>0.82799999999999996</v>
      </c>
      <c r="I156">
        <v>120</v>
      </c>
      <c r="J156">
        <v>84.28</v>
      </c>
      <c r="K156" t="b">
        <v>0</v>
      </c>
      <c r="L156">
        <v>1</v>
      </c>
      <c r="M156" t="s">
        <v>28</v>
      </c>
      <c r="N156">
        <v>9</v>
      </c>
      <c r="O156">
        <v>3</v>
      </c>
      <c r="P156">
        <v>165</v>
      </c>
      <c r="Q156" t="b">
        <v>0</v>
      </c>
      <c r="R156">
        <v>4.4444444444444402</v>
      </c>
      <c r="S156">
        <v>733.33333333333303</v>
      </c>
      <c r="T156" t="s">
        <v>28</v>
      </c>
      <c r="U156">
        <v>0</v>
      </c>
      <c r="V156">
        <v>7</v>
      </c>
      <c r="W156">
        <v>3</v>
      </c>
    </row>
    <row r="157" spans="1:23">
      <c r="A157" s="1">
        <v>45486</v>
      </c>
      <c r="B157" t="s">
        <v>102</v>
      </c>
      <c r="C157" t="s">
        <v>75</v>
      </c>
      <c r="D157" t="s">
        <v>43</v>
      </c>
      <c r="E157" t="s">
        <v>31</v>
      </c>
      <c r="F157">
        <v>262</v>
      </c>
      <c r="G157">
        <v>35.5</v>
      </c>
      <c r="H157">
        <v>0.56399999999999995</v>
      </c>
      <c r="I157">
        <v>130</v>
      </c>
      <c r="J157">
        <v>61.21</v>
      </c>
      <c r="K157" t="b">
        <v>0</v>
      </c>
      <c r="L157">
        <v>0</v>
      </c>
      <c r="M157" t="s">
        <v>35</v>
      </c>
      <c r="N157">
        <v>16</v>
      </c>
      <c r="O157">
        <v>8</v>
      </c>
      <c r="P157">
        <v>209</v>
      </c>
      <c r="Q157" t="b">
        <v>0</v>
      </c>
      <c r="R157">
        <v>0</v>
      </c>
      <c r="S157">
        <v>797.70992366412202</v>
      </c>
      <c r="T157" t="s">
        <v>28</v>
      </c>
      <c r="U157">
        <v>0</v>
      </c>
      <c r="V157">
        <v>7</v>
      </c>
      <c r="W157">
        <v>3</v>
      </c>
    </row>
    <row r="158" spans="1:23">
      <c r="A158" s="1">
        <v>45486</v>
      </c>
      <c r="B158" t="s">
        <v>102</v>
      </c>
      <c r="C158" t="s">
        <v>76</v>
      </c>
      <c r="D158" t="s">
        <v>25</v>
      </c>
      <c r="E158" t="s">
        <v>47</v>
      </c>
      <c r="F158">
        <v>220</v>
      </c>
      <c r="G158">
        <v>31.92</v>
      </c>
      <c r="H158">
        <v>0.14399999999999999</v>
      </c>
      <c r="I158">
        <v>0</v>
      </c>
      <c r="J158">
        <v>40.229999999999997</v>
      </c>
      <c r="K158" t="b">
        <v>0</v>
      </c>
      <c r="L158">
        <v>0</v>
      </c>
      <c r="M158" t="s">
        <v>35</v>
      </c>
      <c r="N158">
        <v>6</v>
      </c>
      <c r="O158">
        <v>1</v>
      </c>
      <c r="P158">
        <v>1</v>
      </c>
      <c r="Q158" t="b">
        <v>0</v>
      </c>
      <c r="R158">
        <v>0</v>
      </c>
      <c r="S158">
        <v>4.5454545454545396</v>
      </c>
      <c r="T158" t="s">
        <v>28</v>
      </c>
      <c r="U158">
        <v>1</v>
      </c>
      <c r="V158">
        <v>7</v>
      </c>
      <c r="W158">
        <v>3</v>
      </c>
    </row>
    <row r="159" spans="1:23">
      <c r="A159" s="1">
        <v>45486</v>
      </c>
      <c r="B159" t="s">
        <v>102</v>
      </c>
      <c r="C159" t="s">
        <v>77</v>
      </c>
      <c r="D159" t="s">
        <v>30</v>
      </c>
      <c r="E159" t="s">
        <v>26</v>
      </c>
      <c r="F159">
        <v>217</v>
      </c>
      <c r="G159">
        <v>20.49</v>
      </c>
      <c r="H159">
        <v>0.14000000000000001</v>
      </c>
      <c r="I159">
        <v>48</v>
      </c>
      <c r="J159">
        <v>39.96</v>
      </c>
      <c r="K159" t="b">
        <v>0</v>
      </c>
      <c r="L159">
        <v>0</v>
      </c>
      <c r="M159" t="s">
        <v>35</v>
      </c>
      <c r="N159">
        <v>7</v>
      </c>
      <c r="O159">
        <v>7</v>
      </c>
      <c r="P159">
        <v>61</v>
      </c>
      <c r="Q159" t="b">
        <v>0</v>
      </c>
      <c r="R159">
        <v>0</v>
      </c>
      <c r="S159">
        <v>281.10599078340999</v>
      </c>
      <c r="T159" t="s">
        <v>28</v>
      </c>
      <c r="U159">
        <v>1</v>
      </c>
      <c r="V159">
        <v>7</v>
      </c>
      <c r="W159">
        <v>3</v>
      </c>
    </row>
    <row r="160" spans="1:23">
      <c r="A160" s="1">
        <v>45486</v>
      </c>
      <c r="B160" t="s">
        <v>102</v>
      </c>
      <c r="C160" t="s">
        <v>78</v>
      </c>
      <c r="D160" t="s">
        <v>33</v>
      </c>
      <c r="E160" t="s">
        <v>31</v>
      </c>
      <c r="F160">
        <v>243</v>
      </c>
      <c r="G160">
        <v>28.83</v>
      </c>
      <c r="H160">
        <v>0.55700000000000005</v>
      </c>
      <c r="I160">
        <v>89</v>
      </c>
      <c r="J160">
        <v>60.75</v>
      </c>
      <c r="K160" t="b">
        <v>0</v>
      </c>
      <c r="L160">
        <v>1</v>
      </c>
      <c r="M160" t="s">
        <v>27</v>
      </c>
      <c r="N160">
        <v>14</v>
      </c>
      <c r="O160">
        <v>11</v>
      </c>
      <c r="P160">
        <v>184</v>
      </c>
      <c r="Q160" t="b">
        <v>0</v>
      </c>
      <c r="R160">
        <v>4.1152263374485596</v>
      </c>
      <c r="S160">
        <v>757.20164609053495</v>
      </c>
      <c r="T160" t="s">
        <v>28</v>
      </c>
      <c r="U160">
        <v>0</v>
      </c>
      <c r="V160">
        <v>7</v>
      </c>
      <c r="W160">
        <v>3</v>
      </c>
    </row>
    <row r="161" spans="1:23">
      <c r="A161" s="1">
        <v>45486</v>
      </c>
      <c r="B161" t="s">
        <v>102</v>
      </c>
      <c r="C161" t="s">
        <v>79</v>
      </c>
      <c r="D161" t="s">
        <v>37</v>
      </c>
      <c r="E161" t="s">
        <v>34</v>
      </c>
      <c r="F161">
        <v>129</v>
      </c>
      <c r="G161">
        <v>37</v>
      </c>
      <c r="H161">
        <v>0.40100000000000002</v>
      </c>
      <c r="I161">
        <v>5</v>
      </c>
      <c r="J161">
        <v>91.52</v>
      </c>
      <c r="K161" t="b">
        <v>0</v>
      </c>
      <c r="L161">
        <v>0</v>
      </c>
      <c r="M161" t="s">
        <v>35</v>
      </c>
      <c r="N161">
        <v>11</v>
      </c>
      <c r="O161">
        <v>2</v>
      </c>
      <c r="P161">
        <v>72</v>
      </c>
      <c r="Q161" t="b">
        <v>0</v>
      </c>
      <c r="R161">
        <v>0</v>
      </c>
      <c r="S161">
        <v>558.13953488371999</v>
      </c>
      <c r="T161" t="s">
        <v>28</v>
      </c>
      <c r="U161">
        <v>0</v>
      </c>
      <c r="V161">
        <v>7</v>
      </c>
      <c r="W161">
        <v>3</v>
      </c>
    </row>
    <row r="162" spans="1:23">
      <c r="A162" s="1">
        <v>45486</v>
      </c>
      <c r="B162" t="s">
        <v>102</v>
      </c>
      <c r="C162" t="s">
        <v>80</v>
      </c>
      <c r="D162" t="s">
        <v>41</v>
      </c>
      <c r="E162" t="s">
        <v>26</v>
      </c>
      <c r="F162">
        <v>203</v>
      </c>
      <c r="G162">
        <v>31.41</v>
      </c>
      <c r="H162">
        <v>0.84499999999999997</v>
      </c>
      <c r="I162">
        <v>188</v>
      </c>
      <c r="J162">
        <v>79.510000000000005</v>
      </c>
      <c r="K162" t="b">
        <v>0</v>
      </c>
      <c r="L162">
        <v>0</v>
      </c>
      <c r="M162" t="s">
        <v>35</v>
      </c>
      <c r="N162">
        <v>13</v>
      </c>
      <c r="O162">
        <v>3</v>
      </c>
      <c r="P162">
        <v>294</v>
      </c>
      <c r="Q162" t="b">
        <v>0</v>
      </c>
      <c r="R162">
        <v>0</v>
      </c>
      <c r="S162">
        <v>1448.2758620689599</v>
      </c>
      <c r="T162" t="s">
        <v>28</v>
      </c>
      <c r="U162">
        <v>0</v>
      </c>
      <c r="V162">
        <v>7</v>
      </c>
      <c r="W162">
        <v>3</v>
      </c>
    </row>
    <row r="163" spans="1:23">
      <c r="A163" s="1">
        <v>45486</v>
      </c>
      <c r="B163" t="s">
        <v>102</v>
      </c>
      <c r="C163" t="s">
        <v>81</v>
      </c>
      <c r="D163" t="s">
        <v>43</v>
      </c>
      <c r="E163" t="s">
        <v>31</v>
      </c>
      <c r="F163">
        <v>80</v>
      </c>
      <c r="G163">
        <v>40.9</v>
      </c>
      <c r="H163">
        <v>0.626</v>
      </c>
      <c r="I163">
        <v>47</v>
      </c>
      <c r="J163">
        <v>78.41</v>
      </c>
      <c r="K163" t="b">
        <v>0</v>
      </c>
      <c r="L163">
        <v>0</v>
      </c>
      <c r="M163" t="s">
        <v>35</v>
      </c>
      <c r="N163">
        <v>15</v>
      </c>
      <c r="O163">
        <v>1</v>
      </c>
      <c r="P163">
        <v>43</v>
      </c>
      <c r="Q163" t="b">
        <v>0</v>
      </c>
      <c r="R163">
        <v>0</v>
      </c>
      <c r="S163">
        <v>537.5</v>
      </c>
      <c r="T163" t="s">
        <v>39</v>
      </c>
      <c r="U163">
        <v>0</v>
      </c>
      <c r="V163">
        <v>7</v>
      </c>
      <c r="W163">
        <v>3</v>
      </c>
    </row>
    <row r="164" spans="1:23">
      <c r="A164" s="1">
        <v>45486</v>
      </c>
      <c r="B164" t="s">
        <v>102</v>
      </c>
      <c r="C164" t="s">
        <v>82</v>
      </c>
      <c r="D164" t="s">
        <v>25</v>
      </c>
      <c r="E164" t="s">
        <v>34</v>
      </c>
      <c r="F164">
        <v>125</v>
      </c>
      <c r="G164">
        <v>37.74</v>
      </c>
      <c r="H164">
        <v>0.44500000000000001</v>
      </c>
      <c r="I164">
        <v>169</v>
      </c>
      <c r="J164">
        <v>95.79</v>
      </c>
      <c r="K164" t="b">
        <v>0</v>
      </c>
      <c r="L164">
        <v>0</v>
      </c>
      <c r="M164" t="s">
        <v>35</v>
      </c>
      <c r="N164">
        <v>15</v>
      </c>
      <c r="O164">
        <v>5</v>
      </c>
      <c r="P164">
        <v>274</v>
      </c>
      <c r="Q164" t="b">
        <v>0</v>
      </c>
      <c r="R164">
        <v>0</v>
      </c>
      <c r="S164">
        <v>2192</v>
      </c>
      <c r="T164" t="s">
        <v>28</v>
      </c>
      <c r="U164">
        <v>0</v>
      </c>
      <c r="V164">
        <v>7</v>
      </c>
      <c r="W164">
        <v>3</v>
      </c>
    </row>
    <row r="165" spans="1:23">
      <c r="A165" s="1">
        <v>45486</v>
      </c>
      <c r="B165" t="s">
        <v>102</v>
      </c>
      <c r="C165" t="s">
        <v>83</v>
      </c>
      <c r="D165" t="s">
        <v>30</v>
      </c>
      <c r="E165" t="s">
        <v>38</v>
      </c>
      <c r="F165">
        <v>304</v>
      </c>
      <c r="G165">
        <v>43.53</v>
      </c>
      <c r="H165">
        <v>0.46700000000000003</v>
      </c>
      <c r="I165">
        <v>124</v>
      </c>
      <c r="J165">
        <v>95.72</v>
      </c>
      <c r="K165" t="b">
        <v>0</v>
      </c>
      <c r="L165">
        <v>1</v>
      </c>
      <c r="M165" t="s">
        <v>28</v>
      </c>
      <c r="N165">
        <v>14</v>
      </c>
      <c r="O165">
        <v>4</v>
      </c>
      <c r="P165">
        <v>138</v>
      </c>
      <c r="Q165" t="b">
        <v>0</v>
      </c>
      <c r="R165">
        <v>3.2894736842105199</v>
      </c>
      <c r="S165">
        <v>453.94736842105198</v>
      </c>
      <c r="T165" t="s">
        <v>39</v>
      </c>
      <c r="U165">
        <v>0</v>
      </c>
      <c r="V165">
        <v>7</v>
      </c>
      <c r="W165">
        <v>3</v>
      </c>
    </row>
    <row r="166" spans="1:23">
      <c r="A166" s="1">
        <v>45486</v>
      </c>
      <c r="B166" t="s">
        <v>102</v>
      </c>
      <c r="C166" t="s">
        <v>84</v>
      </c>
      <c r="D166" t="s">
        <v>33</v>
      </c>
      <c r="E166" t="s">
        <v>31</v>
      </c>
      <c r="F166">
        <v>261</v>
      </c>
      <c r="G166">
        <v>29.5</v>
      </c>
      <c r="H166">
        <v>0.439</v>
      </c>
      <c r="I166">
        <v>101</v>
      </c>
      <c r="J166">
        <v>59.78</v>
      </c>
      <c r="K166" t="b">
        <v>0</v>
      </c>
      <c r="L166">
        <v>3</v>
      </c>
      <c r="M166" t="s">
        <v>28</v>
      </c>
      <c r="N166">
        <v>15</v>
      </c>
      <c r="O166">
        <v>2</v>
      </c>
      <c r="P166">
        <v>136</v>
      </c>
      <c r="Q166" t="b">
        <v>0</v>
      </c>
      <c r="R166">
        <v>11.4942528735632</v>
      </c>
      <c r="S166">
        <v>521.07279693486498</v>
      </c>
      <c r="T166" t="s">
        <v>28</v>
      </c>
      <c r="U166">
        <v>1</v>
      </c>
      <c r="V166">
        <v>7</v>
      </c>
      <c r="W166">
        <v>3</v>
      </c>
    </row>
    <row r="167" spans="1:23">
      <c r="A167" s="1">
        <v>45486</v>
      </c>
      <c r="B167" t="s">
        <v>102</v>
      </c>
      <c r="C167" t="s">
        <v>86</v>
      </c>
      <c r="D167" t="s">
        <v>37</v>
      </c>
      <c r="E167" t="s">
        <v>34</v>
      </c>
      <c r="F167">
        <v>405</v>
      </c>
      <c r="G167">
        <v>21.79</v>
      </c>
      <c r="H167">
        <v>0.68899999999999995</v>
      </c>
      <c r="I167">
        <v>115</v>
      </c>
      <c r="J167">
        <v>64.400000000000006</v>
      </c>
      <c r="K167" t="b">
        <v>0</v>
      </c>
      <c r="L167">
        <v>2</v>
      </c>
      <c r="M167" t="s">
        <v>27</v>
      </c>
      <c r="N167">
        <v>14</v>
      </c>
      <c r="O167">
        <v>2</v>
      </c>
      <c r="P167">
        <v>92</v>
      </c>
      <c r="Q167" t="b">
        <v>0</v>
      </c>
      <c r="R167">
        <v>4.9382716049382704</v>
      </c>
      <c r="S167">
        <v>227.16049382716</v>
      </c>
      <c r="T167" t="s">
        <v>28</v>
      </c>
      <c r="U167">
        <v>0</v>
      </c>
      <c r="V167">
        <v>7</v>
      </c>
      <c r="W167">
        <v>3</v>
      </c>
    </row>
    <row r="168" spans="1:23">
      <c r="A168" s="1">
        <v>45486</v>
      </c>
      <c r="B168" t="s">
        <v>102</v>
      </c>
      <c r="C168" t="s">
        <v>87</v>
      </c>
      <c r="D168" t="s">
        <v>41</v>
      </c>
      <c r="E168" t="s">
        <v>38</v>
      </c>
      <c r="F168">
        <v>83</v>
      </c>
      <c r="G168">
        <v>23.43</v>
      </c>
      <c r="H168">
        <v>0.17799999999999999</v>
      </c>
      <c r="I168">
        <v>113</v>
      </c>
      <c r="J168">
        <v>67.67</v>
      </c>
      <c r="K168" t="b">
        <v>0</v>
      </c>
      <c r="L168">
        <v>0</v>
      </c>
      <c r="M168" t="s">
        <v>35</v>
      </c>
      <c r="N168">
        <v>18</v>
      </c>
      <c r="O168">
        <v>3</v>
      </c>
      <c r="P168">
        <v>152</v>
      </c>
      <c r="Q168" t="b">
        <v>0</v>
      </c>
      <c r="R168">
        <v>0</v>
      </c>
      <c r="S168">
        <v>1831.3253012048101</v>
      </c>
      <c r="T168" t="s">
        <v>28</v>
      </c>
      <c r="U168">
        <v>0</v>
      </c>
      <c r="V168">
        <v>7</v>
      </c>
      <c r="W168">
        <v>3</v>
      </c>
    </row>
    <row r="169" spans="1:23">
      <c r="A169" s="1">
        <v>45486</v>
      </c>
      <c r="B169" t="s">
        <v>102</v>
      </c>
      <c r="C169" t="s">
        <v>88</v>
      </c>
      <c r="D169" t="s">
        <v>43</v>
      </c>
      <c r="E169" t="s">
        <v>47</v>
      </c>
      <c r="F169">
        <v>306</v>
      </c>
      <c r="G169">
        <v>39.549999999999997</v>
      </c>
      <c r="H169">
        <v>0.497</v>
      </c>
      <c r="I169">
        <v>75</v>
      </c>
      <c r="J169">
        <v>42.81</v>
      </c>
      <c r="K169" t="b">
        <v>0</v>
      </c>
      <c r="L169">
        <v>0</v>
      </c>
      <c r="M169" t="s">
        <v>35</v>
      </c>
      <c r="N169">
        <v>11</v>
      </c>
      <c r="O169">
        <v>5</v>
      </c>
      <c r="P169">
        <v>94</v>
      </c>
      <c r="Q169" t="b">
        <v>0</v>
      </c>
      <c r="R169">
        <v>0</v>
      </c>
      <c r="S169">
        <v>307.18954248365998</v>
      </c>
      <c r="T169" t="s">
        <v>28</v>
      </c>
      <c r="U169">
        <v>1</v>
      </c>
      <c r="V169">
        <v>7</v>
      </c>
      <c r="W169">
        <v>3</v>
      </c>
    </row>
    <row r="170" spans="1:23">
      <c r="A170" s="1">
        <v>45486</v>
      </c>
      <c r="B170" t="s">
        <v>102</v>
      </c>
      <c r="C170" t="s">
        <v>89</v>
      </c>
      <c r="D170" t="s">
        <v>25</v>
      </c>
      <c r="E170" t="s">
        <v>34</v>
      </c>
      <c r="F170">
        <v>112</v>
      </c>
      <c r="G170">
        <v>19.510000000000002</v>
      </c>
      <c r="H170">
        <v>0.67</v>
      </c>
      <c r="I170">
        <v>182</v>
      </c>
      <c r="J170">
        <v>51.68</v>
      </c>
      <c r="K170" t="b">
        <v>0</v>
      </c>
      <c r="L170">
        <v>1</v>
      </c>
      <c r="M170" t="s">
        <v>27</v>
      </c>
      <c r="N170">
        <v>12</v>
      </c>
      <c r="O170">
        <v>5</v>
      </c>
      <c r="P170">
        <v>235</v>
      </c>
      <c r="Q170" t="b">
        <v>0</v>
      </c>
      <c r="R170">
        <v>8.9285714285714199</v>
      </c>
      <c r="S170">
        <v>2098.2142857142799</v>
      </c>
      <c r="T170" t="s">
        <v>27</v>
      </c>
      <c r="U170">
        <v>1</v>
      </c>
      <c r="V170">
        <v>7</v>
      </c>
      <c r="W170">
        <v>3</v>
      </c>
    </row>
    <row r="171" spans="1:23">
      <c r="A171" s="1">
        <v>45486</v>
      </c>
      <c r="B171" t="s">
        <v>102</v>
      </c>
      <c r="C171" t="s">
        <v>90</v>
      </c>
      <c r="D171" t="s">
        <v>30</v>
      </c>
      <c r="E171" t="s">
        <v>38</v>
      </c>
      <c r="F171">
        <v>291</v>
      </c>
      <c r="G171">
        <v>42.31</v>
      </c>
      <c r="H171">
        <v>0.24099999999999999</v>
      </c>
      <c r="I171">
        <v>142</v>
      </c>
      <c r="J171">
        <v>29.01</v>
      </c>
      <c r="K171" t="b">
        <v>0</v>
      </c>
      <c r="L171">
        <v>3</v>
      </c>
      <c r="M171" t="s">
        <v>44</v>
      </c>
      <c r="N171">
        <v>13</v>
      </c>
      <c r="O171">
        <v>6</v>
      </c>
      <c r="P171">
        <v>178</v>
      </c>
      <c r="Q171" t="b">
        <v>0</v>
      </c>
      <c r="R171">
        <v>10.309278350515401</v>
      </c>
      <c r="S171">
        <v>611.68384879724999</v>
      </c>
      <c r="T171" t="s">
        <v>39</v>
      </c>
      <c r="U171">
        <v>1</v>
      </c>
      <c r="V171">
        <v>7</v>
      </c>
      <c r="W171">
        <v>3</v>
      </c>
    </row>
    <row r="172" spans="1:23">
      <c r="A172" s="1">
        <v>45486</v>
      </c>
      <c r="B172" t="s">
        <v>102</v>
      </c>
      <c r="C172" t="s">
        <v>91</v>
      </c>
      <c r="D172" t="s">
        <v>33</v>
      </c>
      <c r="E172" t="s">
        <v>47</v>
      </c>
      <c r="F172">
        <v>80</v>
      </c>
      <c r="G172">
        <v>32.79</v>
      </c>
      <c r="H172">
        <v>0.34499999999999997</v>
      </c>
      <c r="I172">
        <v>160</v>
      </c>
      <c r="J172">
        <v>59.84</v>
      </c>
      <c r="K172" t="b">
        <v>0</v>
      </c>
      <c r="L172">
        <v>0</v>
      </c>
      <c r="M172" t="s">
        <v>35</v>
      </c>
      <c r="N172">
        <v>17</v>
      </c>
      <c r="O172">
        <v>7</v>
      </c>
      <c r="P172">
        <v>167</v>
      </c>
      <c r="Q172" t="b">
        <v>0</v>
      </c>
      <c r="R172">
        <v>0</v>
      </c>
      <c r="S172">
        <v>2087.5</v>
      </c>
      <c r="T172" t="s">
        <v>28</v>
      </c>
      <c r="U172">
        <v>1</v>
      </c>
      <c r="V172">
        <v>7</v>
      </c>
      <c r="W172">
        <v>3</v>
      </c>
    </row>
    <row r="173" spans="1:23">
      <c r="A173" s="1">
        <v>45486</v>
      </c>
      <c r="B173" t="s">
        <v>102</v>
      </c>
      <c r="C173" t="s">
        <v>92</v>
      </c>
      <c r="D173" t="s">
        <v>37</v>
      </c>
      <c r="E173" t="s">
        <v>26</v>
      </c>
      <c r="F173">
        <v>131</v>
      </c>
      <c r="G173">
        <v>42.11</v>
      </c>
      <c r="H173">
        <v>0.505</v>
      </c>
      <c r="I173">
        <v>178</v>
      </c>
      <c r="J173">
        <v>58.3</v>
      </c>
      <c r="K173" t="b">
        <v>0</v>
      </c>
      <c r="L173">
        <v>2</v>
      </c>
      <c r="M173" t="s">
        <v>28</v>
      </c>
      <c r="N173">
        <v>7</v>
      </c>
      <c r="O173">
        <v>1</v>
      </c>
      <c r="P173">
        <v>217</v>
      </c>
      <c r="Q173" t="b">
        <v>0</v>
      </c>
      <c r="R173">
        <v>15.267175572518999</v>
      </c>
      <c r="S173">
        <v>1656.4885496183199</v>
      </c>
      <c r="T173" t="s">
        <v>39</v>
      </c>
      <c r="U173">
        <v>1</v>
      </c>
      <c r="V173">
        <v>7</v>
      </c>
      <c r="W173">
        <v>3</v>
      </c>
    </row>
    <row r="174" spans="1:23">
      <c r="A174" s="1">
        <v>45486</v>
      </c>
      <c r="B174" t="s">
        <v>102</v>
      </c>
      <c r="C174" t="s">
        <v>93</v>
      </c>
      <c r="D174" t="s">
        <v>41</v>
      </c>
      <c r="E174" t="s">
        <v>38</v>
      </c>
      <c r="F174">
        <v>163</v>
      </c>
      <c r="G174">
        <v>12.01</v>
      </c>
      <c r="H174">
        <v>0.77500000000000002</v>
      </c>
      <c r="I174">
        <v>207</v>
      </c>
      <c r="J174">
        <v>66.09</v>
      </c>
      <c r="K174" t="b">
        <v>0</v>
      </c>
      <c r="L174">
        <v>0</v>
      </c>
      <c r="M174" t="s">
        <v>35</v>
      </c>
      <c r="N174">
        <v>19</v>
      </c>
      <c r="O174">
        <v>7</v>
      </c>
      <c r="P174">
        <v>325</v>
      </c>
      <c r="Q174" t="b">
        <v>0</v>
      </c>
      <c r="R174">
        <v>0</v>
      </c>
      <c r="S174">
        <v>1993.86503067484</v>
      </c>
      <c r="T174" t="s">
        <v>27</v>
      </c>
      <c r="U174">
        <v>0</v>
      </c>
      <c r="V174">
        <v>7</v>
      </c>
      <c r="W174">
        <v>3</v>
      </c>
    </row>
    <row r="175" spans="1:23">
      <c r="A175" s="1">
        <v>45486</v>
      </c>
      <c r="B175" t="s">
        <v>102</v>
      </c>
      <c r="C175" t="s">
        <v>94</v>
      </c>
      <c r="D175" t="s">
        <v>43</v>
      </c>
      <c r="E175" t="s">
        <v>47</v>
      </c>
      <c r="F175">
        <v>80</v>
      </c>
      <c r="G175">
        <v>28.03</v>
      </c>
      <c r="H175">
        <v>0.77700000000000002</v>
      </c>
      <c r="I175">
        <v>60</v>
      </c>
      <c r="J175">
        <v>65.150000000000006</v>
      </c>
      <c r="K175" t="b">
        <v>0</v>
      </c>
      <c r="L175">
        <v>1</v>
      </c>
      <c r="M175" t="s">
        <v>27</v>
      </c>
      <c r="N175">
        <v>13</v>
      </c>
      <c r="O175">
        <v>7</v>
      </c>
      <c r="P175">
        <v>172</v>
      </c>
      <c r="Q175" t="b">
        <v>0</v>
      </c>
      <c r="R175">
        <v>12.5</v>
      </c>
      <c r="S175">
        <v>2150</v>
      </c>
      <c r="T175" t="s">
        <v>28</v>
      </c>
      <c r="U175">
        <v>0</v>
      </c>
      <c r="V175">
        <v>7</v>
      </c>
      <c r="W175">
        <v>3</v>
      </c>
    </row>
    <row r="176" spans="1:23">
      <c r="A176" s="1">
        <v>45486</v>
      </c>
      <c r="B176" t="s">
        <v>102</v>
      </c>
      <c r="C176" t="s">
        <v>95</v>
      </c>
      <c r="D176" t="s">
        <v>25</v>
      </c>
      <c r="E176" t="s">
        <v>26</v>
      </c>
      <c r="F176">
        <v>112</v>
      </c>
      <c r="G176">
        <v>16.34</v>
      </c>
      <c r="H176">
        <v>0.78700000000000003</v>
      </c>
      <c r="I176">
        <v>40</v>
      </c>
      <c r="J176">
        <v>73.05</v>
      </c>
      <c r="K176" t="b">
        <v>0</v>
      </c>
      <c r="L176">
        <v>2</v>
      </c>
      <c r="M176" t="s">
        <v>28</v>
      </c>
      <c r="N176">
        <v>9</v>
      </c>
      <c r="O176">
        <v>9</v>
      </c>
      <c r="P176">
        <v>70</v>
      </c>
      <c r="Q176" t="b">
        <v>0</v>
      </c>
      <c r="R176">
        <v>17.857142857142801</v>
      </c>
      <c r="S176">
        <v>625</v>
      </c>
      <c r="T176" t="s">
        <v>27</v>
      </c>
      <c r="U176">
        <v>0</v>
      </c>
      <c r="V176">
        <v>7</v>
      </c>
      <c r="W176">
        <v>3</v>
      </c>
    </row>
    <row r="177" spans="1:23">
      <c r="A177" s="1">
        <v>45486</v>
      </c>
      <c r="B177" t="s">
        <v>102</v>
      </c>
      <c r="C177" t="s">
        <v>96</v>
      </c>
      <c r="D177" t="s">
        <v>30</v>
      </c>
      <c r="E177" t="s">
        <v>31</v>
      </c>
      <c r="F177">
        <v>582</v>
      </c>
      <c r="G177">
        <v>14.06</v>
      </c>
      <c r="H177">
        <v>0.05</v>
      </c>
      <c r="I177">
        <v>129</v>
      </c>
      <c r="J177">
        <v>87.49</v>
      </c>
      <c r="K177" t="b">
        <v>0</v>
      </c>
      <c r="L177">
        <v>1</v>
      </c>
      <c r="M177" t="s">
        <v>28</v>
      </c>
      <c r="N177">
        <v>9</v>
      </c>
      <c r="O177">
        <v>6</v>
      </c>
      <c r="P177">
        <v>207</v>
      </c>
      <c r="Q177" t="b">
        <v>0</v>
      </c>
      <c r="R177">
        <v>1.7182130584192401</v>
      </c>
      <c r="S177">
        <v>355.67010309278299</v>
      </c>
      <c r="T177" t="s">
        <v>27</v>
      </c>
      <c r="U177">
        <v>0</v>
      </c>
      <c r="V177">
        <v>7</v>
      </c>
      <c r="W177">
        <v>3</v>
      </c>
    </row>
    <row r="178" spans="1:23">
      <c r="A178" s="1">
        <v>45486</v>
      </c>
      <c r="B178" t="s">
        <v>102</v>
      </c>
      <c r="C178" t="s">
        <v>97</v>
      </c>
      <c r="D178" t="s">
        <v>33</v>
      </c>
      <c r="E178" t="s">
        <v>47</v>
      </c>
      <c r="F178">
        <v>351</v>
      </c>
      <c r="G178">
        <v>27.29</v>
      </c>
      <c r="H178">
        <v>0.434</v>
      </c>
      <c r="I178">
        <v>71</v>
      </c>
      <c r="J178">
        <v>100</v>
      </c>
      <c r="K178" t="b">
        <v>0</v>
      </c>
      <c r="L178">
        <v>0</v>
      </c>
      <c r="M178" t="s">
        <v>35</v>
      </c>
      <c r="N178">
        <v>8</v>
      </c>
      <c r="O178">
        <v>2</v>
      </c>
      <c r="P178">
        <v>112</v>
      </c>
      <c r="Q178" t="b">
        <v>0</v>
      </c>
      <c r="R178">
        <v>0</v>
      </c>
      <c r="S178">
        <v>319.088319088319</v>
      </c>
      <c r="T178" t="s">
        <v>28</v>
      </c>
      <c r="U178">
        <v>0</v>
      </c>
      <c r="V178">
        <v>7</v>
      </c>
      <c r="W178">
        <v>3</v>
      </c>
    </row>
    <row r="179" spans="1:23">
      <c r="A179" s="1">
        <v>45486</v>
      </c>
      <c r="B179" t="s">
        <v>102</v>
      </c>
      <c r="C179" t="s">
        <v>98</v>
      </c>
      <c r="D179" t="s">
        <v>37</v>
      </c>
      <c r="E179" t="s">
        <v>26</v>
      </c>
      <c r="F179">
        <v>244</v>
      </c>
      <c r="G179">
        <v>42.21</v>
      </c>
      <c r="H179">
        <v>0.80900000000000005</v>
      </c>
      <c r="I179">
        <v>17</v>
      </c>
      <c r="J179">
        <v>68.739999999999995</v>
      </c>
      <c r="K179" t="b">
        <v>0</v>
      </c>
      <c r="L179">
        <v>0</v>
      </c>
      <c r="M179" t="s">
        <v>35</v>
      </c>
      <c r="N179">
        <v>16</v>
      </c>
      <c r="O179">
        <v>6</v>
      </c>
      <c r="P179">
        <v>33</v>
      </c>
      <c r="Q179" t="b">
        <v>0</v>
      </c>
      <c r="R179">
        <v>0</v>
      </c>
      <c r="S179">
        <v>135.245901639344</v>
      </c>
      <c r="T179" t="s">
        <v>39</v>
      </c>
      <c r="U179">
        <v>0</v>
      </c>
      <c r="V179">
        <v>7</v>
      </c>
      <c r="W179">
        <v>3</v>
      </c>
    </row>
    <row r="180" spans="1:23">
      <c r="A180" s="1">
        <v>45486</v>
      </c>
      <c r="B180" t="s">
        <v>102</v>
      </c>
      <c r="C180" t="s">
        <v>99</v>
      </c>
      <c r="D180" t="s">
        <v>41</v>
      </c>
      <c r="E180" t="s">
        <v>31</v>
      </c>
      <c r="F180">
        <v>159</v>
      </c>
      <c r="G180">
        <v>58.27</v>
      </c>
      <c r="H180">
        <v>0.33600000000000002</v>
      </c>
      <c r="I180">
        <v>51</v>
      </c>
      <c r="J180">
        <v>63.18</v>
      </c>
      <c r="K180" t="b">
        <v>0</v>
      </c>
      <c r="L180">
        <v>2</v>
      </c>
      <c r="M180" t="s">
        <v>39</v>
      </c>
      <c r="N180">
        <v>12</v>
      </c>
      <c r="O180">
        <v>9</v>
      </c>
      <c r="P180">
        <v>84</v>
      </c>
      <c r="Q180" t="b">
        <v>0</v>
      </c>
      <c r="R180">
        <v>12.5786163522012</v>
      </c>
      <c r="S180">
        <v>528.30188679245202</v>
      </c>
      <c r="T180" t="s">
        <v>39</v>
      </c>
      <c r="U180">
        <v>0</v>
      </c>
      <c r="V180">
        <v>7</v>
      </c>
      <c r="W180">
        <v>3</v>
      </c>
    </row>
    <row r="181" spans="1:23">
      <c r="A181" s="1">
        <v>45486</v>
      </c>
      <c r="B181" t="s">
        <v>102</v>
      </c>
      <c r="C181" t="s">
        <v>100</v>
      </c>
      <c r="D181" t="s">
        <v>43</v>
      </c>
      <c r="E181" t="s">
        <v>34</v>
      </c>
      <c r="F181">
        <v>152</v>
      </c>
      <c r="G181">
        <v>39.22</v>
      </c>
      <c r="H181">
        <v>0.05</v>
      </c>
      <c r="I181">
        <v>196</v>
      </c>
      <c r="J181">
        <v>87.63</v>
      </c>
      <c r="K181" t="b">
        <v>0</v>
      </c>
      <c r="L181">
        <v>0</v>
      </c>
      <c r="M181" t="s">
        <v>35</v>
      </c>
      <c r="N181">
        <v>9</v>
      </c>
      <c r="O181">
        <v>11</v>
      </c>
      <c r="P181">
        <v>241</v>
      </c>
      <c r="Q181" t="b">
        <v>0</v>
      </c>
      <c r="R181">
        <v>0</v>
      </c>
      <c r="S181">
        <v>1585.5263157894699</v>
      </c>
      <c r="T181" t="s">
        <v>28</v>
      </c>
      <c r="U181">
        <v>0</v>
      </c>
      <c r="V181">
        <v>7</v>
      </c>
      <c r="W181">
        <v>3</v>
      </c>
    </row>
    <row r="182" spans="1:23">
      <c r="A182" s="1">
        <v>45576</v>
      </c>
      <c r="B182" t="s">
        <v>103</v>
      </c>
      <c r="C182" t="s">
        <v>24</v>
      </c>
      <c r="D182" t="s">
        <v>25</v>
      </c>
      <c r="E182" t="s">
        <v>26</v>
      </c>
      <c r="F182">
        <v>103</v>
      </c>
      <c r="G182">
        <v>20.309999999999999</v>
      </c>
      <c r="H182">
        <v>0.81599999999999995</v>
      </c>
      <c r="I182">
        <v>100</v>
      </c>
      <c r="J182">
        <v>71.3</v>
      </c>
      <c r="K182" t="b">
        <v>0</v>
      </c>
      <c r="L182">
        <v>0</v>
      </c>
      <c r="M182" t="s">
        <v>35</v>
      </c>
      <c r="N182">
        <v>10</v>
      </c>
      <c r="O182">
        <v>11</v>
      </c>
      <c r="P182">
        <v>219</v>
      </c>
      <c r="Q182" t="b">
        <v>0</v>
      </c>
      <c r="R182">
        <v>0</v>
      </c>
      <c r="S182">
        <v>2126.2135922330099</v>
      </c>
      <c r="T182" t="s">
        <v>28</v>
      </c>
      <c r="U182">
        <v>0</v>
      </c>
      <c r="V182">
        <v>10</v>
      </c>
      <c r="W182">
        <v>4</v>
      </c>
    </row>
    <row r="183" spans="1:23">
      <c r="A183" s="1">
        <v>45576</v>
      </c>
      <c r="B183" t="s">
        <v>103</v>
      </c>
      <c r="C183" t="s">
        <v>29</v>
      </c>
      <c r="D183" t="s">
        <v>30</v>
      </c>
      <c r="E183" t="s">
        <v>31</v>
      </c>
      <c r="F183">
        <v>215</v>
      </c>
      <c r="G183">
        <v>31.29</v>
      </c>
      <c r="H183">
        <v>0.69599999999999995</v>
      </c>
      <c r="I183">
        <v>94</v>
      </c>
      <c r="J183">
        <v>53.85</v>
      </c>
      <c r="K183" t="b">
        <v>0</v>
      </c>
      <c r="L183">
        <v>0</v>
      </c>
      <c r="M183" t="s">
        <v>35</v>
      </c>
      <c r="N183">
        <v>12</v>
      </c>
      <c r="O183">
        <v>10</v>
      </c>
      <c r="P183">
        <v>167</v>
      </c>
      <c r="Q183" t="b">
        <v>0</v>
      </c>
      <c r="R183">
        <v>0</v>
      </c>
      <c r="S183">
        <v>776.744186046511</v>
      </c>
      <c r="T183" t="s">
        <v>28</v>
      </c>
      <c r="U183">
        <v>1</v>
      </c>
      <c r="V183">
        <v>10</v>
      </c>
      <c r="W183">
        <v>4</v>
      </c>
    </row>
    <row r="184" spans="1:23">
      <c r="A184" s="1">
        <v>45576</v>
      </c>
      <c r="B184" t="s">
        <v>103</v>
      </c>
      <c r="C184" t="s">
        <v>32</v>
      </c>
      <c r="D184" t="s">
        <v>33</v>
      </c>
      <c r="E184" t="s">
        <v>34</v>
      </c>
      <c r="F184">
        <v>176</v>
      </c>
      <c r="G184">
        <v>37.99</v>
      </c>
      <c r="H184">
        <v>0.73699999999999999</v>
      </c>
      <c r="I184">
        <v>30</v>
      </c>
      <c r="J184">
        <v>55.66</v>
      </c>
      <c r="K184" t="b">
        <v>0</v>
      </c>
      <c r="L184">
        <v>3</v>
      </c>
      <c r="M184" t="s">
        <v>39</v>
      </c>
      <c r="N184">
        <v>10</v>
      </c>
      <c r="O184">
        <v>1</v>
      </c>
      <c r="P184">
        <v>18</v>
      </c>
      <c r="Q184" t="b">
        <v>0</v>
      </c>
      <c r="R184">
        <v>17.045454545454501</v>
      </c>
      <c r="S184">
        <v>102.272727272727</v>
      </c>
      <c r="T184" t="s">
        <v>28</v>
      </c>
      <c r="U184">
        <v>1</v>
      </c>
      <c r="V184">
        <v>10</v>
      </c>
      <c r="W184">
        <v>4</v>
      </c>
    </row>
    <row r="185" spans="1:23">
      <c r="A185" s="1">
        <v>45576</v>
      </c>
      <c r="B185" t="s">
        <v>103</v>
      </c>
      <c r="C185" t="s">
        <v>36</v>
      </c>
      <c r="D185" t="s">
        <v>37</v>
      </c>
      <c r="E185" t="s">
        <v>38</v>
      </c>
      <c r="F185">
        <v>150</v>
      </c>
      <c r="G185">
        <v>36.89</v>
      </c>
      <c r="H185">
        <v>0.21299999999999999</v>
      </c>
      <c r="I185">
        <v>71</v>
      </c>
      <c r="J185">
        <v>76.78</v>
      </c>
      <c r="K185" t="b">
        <v>0</v>
      </c>
      <c r="L185">
        <v>0</v>
      </c>
      <c r="M185" t="s">
        <v>35</v>
      </c>
      <c r="N185">
        <v>12</v>
      </c>
      <c r="O185">
        <v>4</v>
      </c>
      <c r="P185">
        <v>42</v>
      </c>
      <c r="Q185" t="b">
        <v>0</v>
      </c>
      <c r="R185">
        <v>0</v>
      </c>
      <c r="S185">
        <v>280</v>
      </c>
      <c r="T185" t="s">
        <v>28</v>
      </c>
      <c r="U185">
        <v>0</v>
      </c>
      <c r="V185">
        <v>10</v>
      </c>
      <c r="W185">
        <v>4</v>
      </c>
    </row>
    <row r="186" spans="1:23">
      <c r="A186" s="1">
        <v>45576</v>
      </c>
      <c r="B186" t="s">
        <v>103</v>
      </c>
      <c r="C186" t="s">
        <v>40</v>
      </c>
      <c r="D186" t="s">
        <v>41</v>
      </c>
      <c r="E186" t="s">
        <v>31</v>
      </c>
      <c r="F186">
        <v>235</v>
      </c>
      <c r="G186">
        <v>40.270000000000003</v>
      </c>
      <c r="H186">
        <v>0.54400000000000004</v>
      </c>
      <c r="I186">
        <v>196</v>
      </c>
      <c r="J186">
        <v>75.959999999999994</v>
      </c>
      <c r="K186" t="b">
        <v>0</v>
      </c>
      <c r="L186">
        <v>1</v>
      </c>
      <c r="M186" t="s">
        <v>27</v>
      </c>
      <c r="N186">
        <v>16</v>
      </c>
      <c r="O186">
        <v>6</v>
      </c>
      <c r="P186">
        <v>299</v>
      </c>
      <c r="Q186" t="b">
        <v>0</v>
      </c>
      <c r="R186">
        <v>4.2553191489361701</v>
      </c>
      <c r="S186">
        <v>1272.3404255319099</v>
      </c>
      <c r="T186" t="s">
        <v>39</v>
      </c>
      <c r="U186">
        <v>0</v>
      </c>
      <c r="V186">
        <v>10</v>
      </c>
      <c r="W186">
        <v>4</v>
      </c>
    </row>
    <row r="187" spans="1:23">
      <c r="A187" s="1">
        <v>45576</v>
      </c>
      <c r="B187" t="s">
        <v>103</v>
      </c>
      <c r="C187" t="s">
        <v>42</v>
      </c>
      <c r="D187" t="s">
        <v>43</v>
      </c>
      <c r="E187" t="s">
        <v>34</v>
      </c>
      <c r="F187">
        <v>333</v>
      </c>
      <c r="G187">
        <v>28.39</v>
      </c>
      <c r="H187">
        <v>0.36399999999999999</v>
      </c>
      <c r="I187">
        <v>152</v>
      </c>
      <c r="J187">
        <v>52.93</v>
      </c>
      <c r="K187" t="b">
        <v>0</v>
      </c>
      <c r="L187">
        <v>2</v>
      </c>
      <c r="M187" t="s">
        <v>28</v>
      </c>
      <c r="N187">
        <v>11</v>
      </c>
      <c r="O187">
        <v>10</v>
      </c>
      <c r="P187">
        <v>252</v>
      </c>
      <c r="Q187" t="b">
        <v>0</v>
      </c>
      <c r="R187">
        <v>6.0060060060060003</v>
      </c>
      <c r="S187">
        <v>756.75675675675598</v>
      </c>
      <c r="T187" t="s">
        <v>28</v>
      </c>
      <c r="U187">
        <v>1</v>
      </c>
      <c r="V187">
        <v>10</v>
      </c>
      <c r="W187">
        <v>4</v>
      </c>
    </row>
    <row r="188" spans="1:23">
      <c r="A188" s="1">
        <v>45576</v>
      </c>
      <c r="B188" t="s">
        <v>103</v>
      </c>
      <c r="C188" t="s">
        <v>45</v>
      </c>
      <c r="D188" t="s">
        <v>25</v>
      </c>
      <c r="E188" t="s">
        <v>38</v>
      </c>
      <c r="F188">
        <v>199</v>
      </c>
      <c r="G188">
        <v>19.52</v>
      </c>
      <c r="H188">
        <v>0.107</v>
      </c>
      <c r="I188">
        <v>138</v>
      </c>
      <c r="J188">
        <v>46.46</v>
      </c>
      <c r="K188" t="b">
        <v>0</v>
      </c>
      <c r="L188">
        <v>1</v>
      </c>
      <c r="M188" t="s">
        <v>39</v>
      </c>
      <c r="N188">
        <v>11</v>
      </c>
      <c r="O188">
        <v>4</v>
      </c>
      <c r="P188">
        <v>201</v>
      </c>
      <c r="Q188" t="b">
        <v>0</v>
      </c>
      <c r="R188">
        <v>5.0251256281407004</v>
      </c>
      <c r="S188">
        <v>1010.05025125628</v>
      </c>
      <c r="T188" t="s">
        <v>27</v>
      </c>
      <c r="U188">
        <v>1</v>
      </c>
      <c r="V188">
        <v>10</v>
      </c>
      <c r="W188">
        <v>4</v>
      </c>
    </row>
    <row r="189" spans="1:23">
      <c r="A189" s="1">
        <v>45576</v>
      </c>
      <c r="B189" t="s">
        <v>103</v>
      </c>
      <c r="C189" t="s">
        <v>46</v>
      </c>
      <c r="D189" t="s">
        <v>30</v>
      </c>
      <c r="E189" t="s">
        <v>47</v>
      </c>
      <c r="F189">
        <v>104</v>
      </c>
      <c r="G189">
        <v>11.72</v>
      </c>
      <c r="H189">
        <v>0.51400000000000001</v>
      </c>
      <c r="I189">
        <v>80</v>
      </c>
      <c r="J189">
        <v>64.900000000000006</v>
      </c>
      <c r="K189" t="b">
        <v>0</v>
      </c>
      <c r="L189">
        <v>0</v>
      </c>
      <c r="M189" t="s">
        <v>35</v>
      </c>
      <c r="N189">
        <v>9</v>
      </c>
      <c r="O189">
        <v>5</v>
      </c>
      <c r="P189">
        <v>173</v>
      </c>
      <c r="Q189" t="b">
        <v>0</v>
      </c>
      <c r="R189">
        <v>0</v>
      </c>
      <c r="S189">
        <v>1663.4615384615299</v>
      </c>
      <c r="T189" t="s">
        <v>27</v>
      </c>
      <c r="U189">
        <v>0</v>
      </c>
      <c r="V189">
        <v>10</v>
      </c>
      <c r="W189">
        <v>4</v>
      </c>
    </row>
    <row r="190" spans="1:23">
      <c r="A190" s="1">
        <v>45576</v>
      </c>
      <c r="B190" t="s">
        <v>103</v>
      </c>
      <c r="C190" t="s">
        <v>48</v>
      </c>
      <c r="D190" t="s">
        <v>33</v>
      </c>
      <c r="E190" t="s">
        <v>34</v>
      </c>
      <c r="F190">
        <v>250</v>
      </c>
      <c r="G190">
        <v>21.83</v>
      </c>
      <c r="H190">
        <v>0.81899999999999995</v>
      </c>
      <c r="I190">
        <v>145</v>
      </c>
      <c r="J190">
        <v>72.709999999999994</v>
      </c>
      <c r="K190" t="b">
        <v>0</v>
      </c>
      <c r="L190">
        <v>1</v>
      </c>
      <c r="M190" t="s">
        <v>39</v>
      </c>
      <c r="N190">
        <v>15</v>
      </c>
      <c r="O190">
        <v>3</v>
      </c>
      <c r="P190">
        <v>226</v>
      </c>
      <c r="Q190" t="b">
        <v>0</v>
      </c>
      <c r="R190">
        <v>4</v>
      </c>
      <c r="S190">
        <v>904</v>
      </c>
      <c r="T190" t="s">
        <v>28</v>
      </c>
      <c r="U190">
        <v>0</v>
      </c>
      <c r="V190">
        <v>10</v>
      </c>
      <c r="W190">
        <v>4</v>
      </c>
    </row>
    <row r="191" spans="1:23">
      <c r="A191" s="1">
        <v>45576</v>
      </c>
      <c r="B191" t="s">
        <v>103</v>
      </c>
      <c r="C191" t="s">
        <v>49</v>
      </c>
      <c r="D191" t="s">
        <v>37</v>
      </c>
      <c r="E191" t="s">
        <v>38</v>
      </c>
      <c r="F191">
        <v>155</v>
      </c>
      <c r="G191">
        <v>36.6</v>
      </c>
      <c r="H191">
        <v>0.432</v>
      </c>
      <c r="I191">
        <v>179</v>
      </c>
      <c r="J191">
        <v>69.42</v>
      </c>
      <c r="K191" t="b">
        <v>0</v>
      </c>
      <c r="L191">
        <v>0</v>
      </c>
      <c r="M191" t="s">
        <v>35</v>
      </c>
      <c r="N191">
        <v>22</v>
      </c>
      <c r="O191">
        <v>11</v>
      </c>
      <c r="P191">
        <v>319</v>
      </c>
      <c r="Q191" t="b">
        <v>0</v>
      </c>
      <c r="R191">
        <v>0</v>
      </c>
      <c r="S191">
        <v>2058.0645161290299</v>
      </c>
      <c r="T191" t="s">
        <v>28</v>
      </c>
      <c r="U191">
        <v>0</v>
      </c>
      <c r="V191">
        <v>10</v>
      </c>
      <c r="W191">
        <v>4</v>
      </c>
    </row>
    <row r="192" spans="1:23">
      <c r="A192" s="1">
        <v>45576</v>
      </c>
      <c r="B192" t="s">
        <v>103</v>
      </c>
      <c r="C192" t="s">
        <v>50</v>
      </c>
      <c r="D192" t="s">
        <v>41</v>
      </c>
      <c r="E192" t="s">
        <v>47</v>
      </c>
      <c r="F192">
        <v>346</v>
      </c>
      <c r="G192">
        <v>46.38</v>
      </c>
      <c r="H192">
        <v>0.50900000000000001</v>
      </c>
      <c r="I192">
        <v>58</v>
      </c>
      <c r="J192">
        <v>64.31</v>
      </c>
      <c r="K192" t="b">
        <v>0</v>
      </c>
      <c r="L192">
        <v>2</v>
      </c>
      <c r="M192" t="s">
        <v>27</v>
      </c>
      <c r="N192">
        <v>6</v>
      </c>
      <c r="O192">
        <v>6</v>
      </c>
      <c r="P192">
        <v>108</v>
      </c>
      <c r="Q192" t="b">
        <v>0</v>
      </c>
      <c r="R192">
        <v>5.7803468208092399</v>
      </c>
      <c r="S192">
        <v>312.13872832369901</v>
      </c>
      <c r="T192" t="s">
        <v>39</v>
      </c>
      <c r="U192">
        <v>0</v>
      </c>
      <c r="V192">
        <v>10</v>
      </c>
      <c r="W192">
        <v>4</v>
      </c>
    </row>
    <row r="193" spans="1:23">
      <c r="A193" s="1">
        <v>45576</v>
      </c>
      <c r="B193" t="s">
        <v>103</v>
      </c>
      <c r="C193" t="s">
        <v>51</v>
      </c>
      <c r="D193" t="s">
        <v>43</v>
      </c>
      <c r="E193" t="s">
        <v>26</v>
      </c>
      <c r="F193">
        <v>166</v>
      </c>
      <c r="G193">
        <v>45.85</v>
      </c>
      <c r="H193">
        <v>0.14599999999999999</v>
      </c>
      <c r="I193">
        <v>128</v>
      </c>
      <c r="J193">
        <v>77.3</v>
      </c>
      <c r="K193" t="b">
        <v>0</v>
      </c>
      <c r="L193">
        <v>1</v>
      </c>
      <c r="M193" t="s">
        <v>27</v>
      </c>
      <c r="N193">
        <v>21</v>
      </c>
      <c r="O193">
        <v>7</v>
      </c>
      <c r="P193">
        <v>104</v>
      </c>
      <c r="Q193" t="b">
        <v>0</v>
      </c>
      <c r="R193">
        <v>6.0240963855421601</v>
      </c>
      <c r="S193">
        <v>626.50602409638498</v>
      </c>
      <c r="T193" t="s">
        <v>39</v>
      </c>
      <c r="U193">
        <v>0</v>
      </c>
      <c r="V193">
        <v>10</v>
      </c>
      <c r="W193">
        <v>4</v>
      </c>
    </row>
    <row r="194" spans="1:23">
      <c r="A194" s="1">
        <v>45576</v>
      </c>
      <c r="B194" t="s">
        <v>103</v>
      </c>
      <c r="C194" t="s">
        <v>52</v>
      </c>
      <c r="D194" t="s">
        <v>25</v>
      </c>
      <c r="E194" t="s">
        <v>38</v>
      </c>
      <c r="F194">
        <v>295</v>
      </c>
      <c r="G194">
        <v>13.63</v>
      </c>
      <c r="H194">
        <v>0.83599999999999997</v>
      </c>
      <c r="I194">
        <v>128</v>
      </c>
      <c r="J194">
        <v>52.32</v>
      </c>
      <c r="K194" t="b">
        <v>0</v>
      </c>
      <c r="L194">
        <v>0</v>
      </c>
      <c r="M194" t="s">
        <v>35</v>
      </c>
      <c r="N194">
        <v>10</v>
      </c>
      <c r="O194">
        <v>2</v>
      </c>
      <c r="P194">
        <v>202</v>
      </c>
      <c r="Q194" t="b">
        <v>0</v>
      </c>
      <c r="R194">
        <v>0</v>
      </c>
      <c r="S194">
        <v>684.74576271186402</v>
      </c>
      <c r="T194" t="s">
        <v>27</v>
      </c>
      <c r="U194">
        <v>1</v>
      </c>
      <c r="V194">
        <v>10</v>
      </c>
      <c r="W194">
        <v>4</v>
      </c>
    </row>
    <row r="195" spans="1:23">
      <c r="A195" s="1">
        <v>45576</v>
      </c>
      <c r="B195" t="s">
        <v>103</v>
      </c>
      <c r="C195" t="s">
        <v>53</v>
      </c>
      <c r="D195" t="s">
        <v>30</v>
      </c>
      <c r="E195" t="s">
        <v>47</v>
      </c>
      <c r="F195">
        <v>105</v>
      </c>
      <c r="G195">
        <v>16.36</v>
      </c>
      <c r="H195">
        <v>0.68500000000000005</v>
      </c>
      <c r="I195">
        <v>162</v>
      </c>
      <c r="J195">
        <v>58.91</v>
      </c>
      <c r="K195" t="b">
        <v>0</v>
      </c>
      <c r="L195">
        <v>1</v>
      </c>
      <c r="M195" t="s">
        <v>39</v>
      </c>
      <c r="N195">
        <v>7</v>
      </c>
      <c r="O195">
        <v>7</v>
      </c>
      <c r="P195">
        <v>227</v>
      </c>
      <c r="Q195" t="b">
        <v>0</v>
      </c>
      <c r="R195">
        <v>9.5238095238095202</v>
      </c>
      <c r="S195">
        <v>2161.9047619047601</v>
      </c>
      <c r="T195" t="s">
        <v>27</v>
      </c>
      <c r="U195">
        <v>1</v>
      </c>
      <c r="V195">
        <v>10</v>
      </c>
      <c r="W195">
        <v>4</v>
      </c>
    </row>
    <row r="196" spans="1:23">
      <c r="A196" s="1">
        <v>45576</v>
      </c>
      <c r="B196" t="s">
        <v>103</v>
      </c>
      <c r="C196" t="s">
        <v>54</v>
      </c>
      <c r="D196" t="s">
        <v>33</v>
      </c>
      <c r="E196" t="s">
        <v>26</v>
      </c>
      <c r="F196">
        <v>513</v>
      </c>
      <c r="G196">
        <v>17.93</v>
      </c>
      <c r="H196">
        <v>0.33300000000000002</v>
      </c>
      <c r="I196">
        <v>25</v>
      </c>
      <c r="J196">
        <v>56.45</v>
      </c>
      <c r="K196" t="b">
        <v>0</v>
      </c>
      <c r="L196">
        <v>1</v>
      </c>
      <c r="M196" t="s">
        <v>28</v>
      </c>
      <c r="N196">
        <v>10</v>
      </c>
      <c r="O196">
        <v>8</v>
      </c>
      <c r="P196">
        <v>44</v>
      </c>
      <c r="Q196" t="b">
        <v>0</v>
      </c>
      <c r="R196">
        <v>1.94931773879142</v>
      </c>
      <c r="S196">
        <v>85.769980506822606</v>
      </c>
      <c r="T196" t="s">
        <v>27</v>
      </c>
      <c r="U196">
        <v>1</v>
      </c>
      <c r="V196">
        <v>10</v>
      </c>
      <c r="W196">
        <v>4</v>
      </c>
    </row>
    <row r="197" spans="1:23">
      <c r="A197" s="1">
        <v>45576</v>
      </c>
      <c r="B197" t="s">
        <v>103</v>
      </c>
      <c r="C197" t="s">
        <v>55</v>
      </c>
      <c r="D197" t="s">
        <v>37</v>
      </c>
      <c r="E197" t="s">
        <v>31</v>
      </c>
      <c r="F197">
        <v>128</v>
      </c>
      <c r="G197">
        <v>24.56</v>
      </c>
      <c r="H197">
        <v>0.58199999999999996</v>
      </c>
      <c r="I197">
        <v>59</v>
      </c>
      <c r="J197">
        <v>84.52</v>
      </c>
      <c r="K197" t="b">
        <v>0</v>
      </c>
      <c r="L197">
        <v>0</v>
      </c>
      <c r="M197" t="s">
        <v>35</v>
      </c>
      <c r="N197">
        <v>11</v>
      </c>
      <c r="O197">
        <v>8</v>
      </c>
      <c r="P197">
        <v>23</v>
      </c>
      <c r="Q197" t="b">
        <v>0</v>
      </c>
      <c r="R197">
        <v>0</v>
      </c>
      <c r="S197">
        <v>179.6875</v>
      </c>
      <c r="T197" t="s">
        <v>28</v>
      </c>
      <c r="U197">
        <v>0</v>
      </c>
      <c r="V197">
        <v>10</v>
      </c>
      <c r="W197">
        <v>4</v>
      </c>
    </row>
    <row r="198" spans="1:23">
      <c r="A198" s="1">
        <v>45576</v>
      </c>
      <c r="B198" t="s">
        <v>103</v>
      </c>
      <c r="C198" t="s">
        <v>56</v>
      </c>
      <c r="D198" t="s">
        <v>41</v>
      </c>
      <c r="E198" t="s">
        <v>47</v>
      </c>
      <c r="F198">
        <v>146</v>
      </c>
      <c r="G198">
        <v>33.21</v>
      </c>
      <c r="H198">
        <v>0.63</v>
      </c>
      <c r="I198">
        <v>94</v>
      </c>
      <c r="J198">
        <v>100</v>
      </c>
      <c r="K198" t="b">
        <v>0</v>
      </c>
      <c r="L198">
        <v>1</v>
      </c>
      <c r="M198" t="s">
        <v>39</v>
      </c>
      <c r="N198">
        <v>10</v>
      </c>
      <c r="O198">
        <v>1</v>
      </c>
      <c r="P198">
        <v>45</v>
      </c>
      <c r="Q198" t="b">
        <v>0</v>
      </c>
      <c r="R198">
        <v>6.8493150684931496</v>
      </c>
      <c r="S198">
        <v>308.21917808219098</v>
      </c>
      <c r="T198" t="s">
        <v>28</v>
      </c>
      <c r="U198">
        <v>0</v>
      </c>
      <c r="V198">
        <v>10</v>
      </c>
      <c r="W198">
        <v>4</v>
      </c>
    </row>
    <row r="199" spans="1:23">
      <c r="A199" s="1">
        <v>45576</v>
      </c>
      <c r="B199" t="s">
        <v>103</v>
      </c>
      <c r="C199" t="s">
        <v>57</v>
      </c>
      <c r="D199" t="s">
        <v>43</v>
      </c>
      <c r="E199" t="s">
        <v>26</v>
      </c>
      <c r="F199">
        <v>243</v>
      </c>
      <c r="G199">
        <v>23.37</v>
      </c>
      <c r="H199">
        <v>0.31900000000000001</v>
      </c>
      <c r="I199">
        <v>84</v>
      </c>
      <c r="J199">
        <v>43.78</v>
      </c>
      <c r="K199" t="b">
        <v>0</v>
      </c>
      <c r="L199">
        <v>0</v>
      </c>
      <c r="M199" t="s">
        <v>35</v>
      </c>
      <c r="N199">
        <v>8</v>
      </c>
      <c r="O199">
        <v>12</v>
      </c>
      <c r="P199">
        <v>121</v>
      </c>
      <c r="Q199" t="b">
        <v>0</v>
      </c>
      <c r="R199">
        <v>0</v>
      </c>
      <c r="S199">
        <v>497.94238683127497</v>
      </c>
      <c r="T199" t="s">
        <v>28</v>
      </c>
      <c r="U199">
        <v>1</v>
      </c>
      <c r="V199">
        <v>10</v>
      </c>
      <c r="W199">
        <v>4</v>
      </c>
    </row>
    <row r="200" spans="1:23">
      <c r="A200" s="1">
        <v>45576</v>
      </c>
      <c r="B200" t="s">
        <v>103</v>
      </c>
      <c r="C200" t="s">
        <v>58</v>
      </c>
      <c r="D200" t="s">
        <v>25</v>
      </c>
      <c r="E200" t="s">
        <v>31</v>
      </c>
      <c r="F200">
        <v>725</v>
      </c>
      <c r="G200">
        <v>32.61</v>
      </c>
      <c r="H200">
        <v>0.39200000000000002</v>
      </c>
      <c r="I200">
        <v>91</v>
      </c>
      <c r="J200">
        <v>17.899999999999999</v>
      </c>
      <c r="K200" t="b">
        <v>0</v>
      </c>
      <c r="L200">
        <v>2</v>
      </c>
      <c r="M200" t="s">
        <v>28</v>
      </c>
      <c r="N200">
        <v>13</v>
      </c>
      <c r="O200">
        <v>7</v>
      </c>
      <c r="P200">
        <v>130</v>
      </c>
      <c r="Q200" t="b">
        <v>0</v>
      </c>
      <c r="R200">
        <v>2.7586206896551699</v>
      </c>
      <c r="S200">
        <v>179.31034482758599</v>
      </c>
      <c r="T200" t="s">
        <v>28</v>
      </c>
      <c r="U200">
        <v>1</v>
      </c>
      <c r="V200">
        <v>10</v>
      </c>
      <c r="W200">
        <v>4</v>
      </c>
    </row>
    <row r="201" spans="1:23">
      <c r="A201" s="1">
        <v>45576</v>
      </c>
      <c r="B201" t="s">
        <v>103</v>
      </c>
      <c r="C201" t="s">
        <v>59</v>
      </c>
      <c r="D201" t="s">
        <v>30</v>
      </c>
      <c r="E201" t="s">
        <v>34</v>
      </c>
      <c r="F201">
        <v>193</v>
      </c>
      <c r="G201">
        <v>27.37</v>
      </c>
      <c r="H201">
        <v>0.115</v>
      </c>
      <c r="I201">
        <v>29</v>
      </c>
      <c r="J201">
        <v>85.8</v>
      </c>
      <c r="K201" t="b">
        <v>0</v>
      </c>
      <c r="L201">
        <v>0</v>
      </c>
      <c r="M201" t="s">
        <v>35</v>
      </c>
      <c r="N201">
        <v>11</v>
      </c>
      <c r="O201">
        <v>13</v>
      </c>
      <c r="P201">
        <v>73</v>
      </c>
      <c r="Q201" t="b">
        <v>0</v>
      </c>
      <c r="R201">
        <v>0</v>
      </c>
      <c r="S201">
        <v>378.23834196891102</v>
      </c>
      <c r="T201" t="s">
        <v>28</v>
      </c>
      <c r="U201">
        <v>0</v>
      </c>
      <c r="V201">
        <v>10</v>
      </c>
      <c r="W201">
        <v>4</v>
      </c>
    </row>
    <row r="202" spans="1:23">
      <c r="A202" s="1">
        <v>45576</v>
      </c>
      <c r="B202" t="s">
        <v>103</v>
      </c>
      <c r="C202" t="s">
        <v>60</v>
      </c>
      <c r="D202" t="s">
        <v>33</v>
      </c>
      <c r="E202" t="s">
        <v>26</v>
      </c>
      <c r="F202">
        <v>225</v>
      </c>
      <c r="G202">
        <v>35</v>
      </c>
      <c r="H202">
        <v>0.63</v>
      </c>
      <c r="I202">
        <v>197</v>
      </c>
      <c r="J202">
        <v>69.66</v>
      </c>
      <c r="K202" t="b">
        <v>0</v>
      </c>
      <c r="L202">
        <v>0</v>
      </c>
      <c r="M202" t="s">
        <v>35</v>
      </c>
      <c r="N202">
        <v>13</v>
      </c>
      <c r="O202">
        <v>7</v>
      </c>
      <c r="P202">
        <v>311</v>
      </c>
      <c r="Q202" t="b">
        <v>0</v>
      </c>
      <c r="R202">
        <v>0</v>
      </c>
      <c r="S202">
        <v>1382.2222222222199</v>
      </c>
      <c r="T202" t="s">
        <v>28</v>
      </c>
      <c r="U202">
        <v>0</v>
      </c>
      <c r="V202">
        <v>10</v>
      </c>
      <c r="W202">
        <v>4</v>
      </c>
    </row>
    <row r="203" spans="1:23">
      <c r="A203" s="1">
        <v>45576</v>
      </c>
      <c r="B203" t="s">
        <v>103</v>
      </c>
      <c r="C203" t="s">
        <v>61</v>
      </c>
      <c r="D203" t="s">
        <v>37</v>
      </c>
      <c r="E203" t="s">
        <v>31</v>
      </c>
      <c r="F203">
        <v>80</v>
      </c>
      <c r="G203">
        <v>31.68</v>
      </c>
      <c r="H203">
        <v>0.63700000000000001</v>
      </c>
      <c r="I203">
        <v>103</v>
      </c>
      <c r="J203">
        <v>50.04</v>
      </c>
      <c r="K203" t="b">
        <v>0</v>
      </c>
      <c r="L203">
        <v>1</v>
      </c>
      <c r="M203" t="s">
        <v>27</v>
      </c>
      <c r="N203">
        <v>18</v>
      </c>
      <c r="O203">
        <v>12</v>
      </c>
      <c r="P203">
        <v>119</v>
      </c>
      <c r="Q203" t="b">
        <v>0</v>
      </c>
      <c r="R203">
        <v>12.5</v>
      </c>
      <c r="S203">
        <v>1487.5</v>
      </c>
      <c r="T203" t="s">
        <v>28</v>
      </c>
      <c r="U203">
        <v>1</v>
      </c>
      <c r="V203">
        <v>10</v>
      </c>
      <c r="W203">
        <v>4</v>
      </c>
    </row>
    <row r="204" spans="1:23">
      <c r="A204" s="1">
        <v>45576</v>
      </c>
      <c r="B204" t="s">
        <v>103</v>
      </c>
      <c r="C204" t="s">
        <v>62</v>
      </c>
      <c r="D204" t="s">
        <v>41</v>
      </c>
      <c r="E204" t="s">
        <v>34</v>
      </c>
      <c r="F204">
        <v>331</v>
      </c>
      <c r="G204">
        <v>10.32</v>
      </c>
      <c r="H204">
        <v>0.81599999999999995</v>
      </c>
      <c r="I204">
        <v>177</v>
      </c>
      <c r="J204">
        <v>62.34</v>
      </c>
      <c r="K204" t="b">
        <v>0</v>
      </c>
      <c r="L204">
        <v>2</v>
      </c>
      <c r="M204" t="s">
        <v>28</v>
      </c>
      <c r="N204">
        <v>13</v>
      </c>
      <c r="O204">
        <v>5</v>
      </c>
      <c r="P204">
        <v>288</v>
      </c>
      <c r="Q204" t="b">
        <v>0</v>
      </c>
      <c r="R204">
        <v>6.0422960725075496</v>
      </c>
      <c r="S204">
        <v>870.09063444108699</v>
      </c>
      <c r="T204" t="s">
        <v>27</v>
      </c>
      <c r="U204">
        <v>0</v>
      </c>
      <c r="V204">
        <v>10</v>
      </c>
      <c r="W204">
        <v>4</v>
      </c>
    </row>
    <row r="205" spans="1:23">
      <c r="A205" s="1">
        <v>45576</v>
      </c>
      <c r="B205" t="s">
        <v>103</v>
      </c>
      <c r="C205" t="s">
        <v>63</v>
      </c>
      <c r="D205" t="s">
        <v>43</v>
      </c>
      <c r="E205" t="s">
        <v>38</v>
      </c>
      <c r="F205">
        <v>168</v>
      </c>
      <c r="G205">
        <v>25.87</v>
      </c>
      <c r="H205">
        <v>7.1999999999999995E-2</v>
      </c>
      <c r="I205">
        <v>55</v>
      </c>
      <c r="J205">
        <v>70.959999999999994</v>
      </c>
      <c r="K205" t="b">
        <v>0</v>
      </c>
      <c r="L205">
        <v>0</v>
      </c>
      <c r="M205" t="s">
        <v>35</v>
      </c>
      <c r="N205">
        <v>12</v>
      </c>
      <c r="O205">
        <v>9</v>
      </c>
      <c r="P205">
        <v>64</v>
      </c>
      <c r="Q205" t="b">
        <v>0</v>
      </c>
      <c r="R205">
        <v>0</v>
      </c>
      <c r="S205">
        <v>380.95238095238</v>
      </c>
      <c r="T205" t="s">
        <v>28</v>
      </c>
      <c r="U205">
        <v>0</v>
      </c>
      <c r="V205">
        <v>10</v>
      </c>
      <c r="W205">
        <v>4</v>
      </c>
    </row>
    <row r="206" spans="1:23">
      <c r="A206" s="1">
        <v>45576</v>
      </c>
      <c r="B206" t="s">
        <v>103</v>
      </c>
      <c r="C206" t="s">
        <v>64</v>
      </c>
      <c r="D206" t="s">
        <v>25</v>
      </c>
      <c r="E206" t="s">
        <v>31</v>
      </c>
      <c r="F206">
        <v>292</v>
      </c>
      <c r="G206">
        <v>18.920000000000002</v>
      </c>
      <c r="H206">
        <v>0.05</v>
      </c>
      <c r="I206">
        <v>19</v>
      </c>
      <c r="J206">
        <v>54.27</v>
      </c>
      <c r="K206" t="b">
        <v>0</v>
      </c>
      <c r="L206">
        <v>0</v>
      </c>
      <c r="M206" t="s">
        <v>35</v>
      </c>
      <c r="N206">
        <v>10</v>
      </c>
      <c r="O206">
        <v>6</v>
      </c>
      <c r="P206">
        <v>61</v>
      </c>
      <c r="Q206" t="b">
        <v>0</v>
      </c>
      <c r="R206">
        <v>0</v>
      </c>
      <c r="S206">
        <v>208.90410958904101</v>
      </c>
      <c r="T206" t="s">
        <v>27</v>
      </c>
      <c r="U206">
        <v>1</v>
      </c>
      <c r="V206">
        <v>10</v>
      </c>
      <c r="W206">
        <v>4</v>
      </c>
    </row>
    <row r="207" spans="1:23">
      <c r="A207" s="1">
        <v>45576</v>
      </c>
      <c r="B207" t="s">
        <v>103</v>
      </c>
      <c r="C207" t="s">
        <v>65</v>
      </c>
      <c r="D207" t="s">
        <v>30</v>
      </c>
      <c r="E207" t="s">
        <v>34</v>
      </c>
      <c r="F207">
        <v>521</v>
      </c>
      <c r="G207">
        <v>26.78</v>
      </c>
      <c r="H207">
        <v>0.25600000000000001</v>
      </c>
      <c r="I207">
        <v>70</v>
      </c>
      <c r="J207">
        <v>67.83</v>
      </c>
      <c r="K207" t="b">
        <v>0</v>
      </c>
      <c r="L207">
        <v>0</v>
      </c>
      <c r="M207" t="s">
        <v>35</v>
      </c>
      <c r="N207">
        <v>11</v>
      </c>
      <c r="O207">
        <v>5</v>
      </c>
      <c r="P207">
        <v>144</v>
      </c>
      <c r="Q207" t="b">
        <v>0</v>
      </c>
      <c r="R207">
        <v>0</v>
      </c>
      <c r="S207">
        <v>276.391554702495</v>
      </c>
      <c r="T207" t="s">
        <v>28</v>
      </c>
      <c r="U207">
        <v>0</v>
      </c>
      <c r="V207">
        <v>10</v>
      </c>
      <c r="W207">
        <v>4</v>
      </c>
    </row>
    <row r="208" spans="1:23">
      <c r="A208" s="1">
        <v>45576</v>
      </c>
      <c r="B208" t="s">
        <v>103</v>
      </c>
      <c r="C208" t="s">
        <v>66</v>
      </c>
      <c r="D208" t="s">
        <v>33</v>
      </c>
      <c r="E208" t="s">
        <v>38</v>
      </c>
      <c r="F208">
        <v>80</v>
      </c>
      <c r="G208">
        <v>48.32</v>
      </c>
      <c r="H208">
        <v>7.8E-2</v>
      </c>
      <c r="I208">
        <v>194</v>
      </c>
      <c r="J208">
        <v>59.2</v>
      </c>
      <c r="K208" t="b">
        <v>0</v>
      </c>
      <c r="L208">
        <v>0</v>
      </c>
      <c r="M208" t="s">
        <v>35</v>
      </c>
      <c r="N208">
        <v>13</v>
      </c>
      <c r="O208">
        <v>4</v>
      </c>
      <c r="P208">
        <v>298</v>
      </c>
      <c r="Q208" t="b">
        <v>0</v>
      </c>
      <c r="R208">
        <v>0</v>
      </c>
      <c r="S208">
        <v>3725</v>
      </c>
      <c r="T208" t="s">
        <v>39</v>
      </c>
      <c r="U208">
        <v>1</v>
      </c>
      <c r="V208">
        <v>10</v>
      </c>
      <c r="W208">
        <v>4</v>
      </c>
    </row>
    <row r="209" spans="1:23">
      <c r="A209" s="1">
        <v>45576</v>
      </c>
      <c r="B209" t="s">
        <v>103</v>
      </c>
      <c r="C209" t="s">
        <v>67</v>
      </c>
      <c r="D209" t="s">
        <v>37</v>
      </c>
      <c r="E209" t="s">
        <v>47</v>
      </c>
      <c r="F209">
        <v>166</v>
      </c>
      <c r="G209">
        <v>11.12</v>
      </c>
      <c r="H209">
        <v>0.67100000000000004</v>
      </c>
      <c r="I209">
        <v>133</v>
      </c>
      <c r="J209">
        <v>66.11</v>
      </c>
      <c r="K209" t="b">
        <v>0</v>
      </c>
      <c r="L209">
        <v>1</v>
      </c>
      <c r="M209" t="s">
        <v>44</v>
      </c>
      <c r="N209">
        <v>21</v>
      </c>
      <c r="O209">
        <v>7</v>
      </c>
      <c r="P209">
        <v>204</v>
      </c>
      <c r="Q209" t="b">
        <v>0</v>
      </c>
      <c r="R209">
        <v>6.0240963855421601</v>
      </c>
      <c r="S209">
        <v>1228.9156626506001</v>
      </c>
      <c r="T209" t="s">
        <v>27</v>
      </c>
      <c r="U209">
        <v>0</v>
      </c>
      <c r="V209">
        <v>10</v>
      </c>
      <c r="W209">
        <v>4</v>
      </c>
    </row>
    <row r="210" spans="1:23">
      <c r="A210" s="1">
        <v>45576</v>
      </c>
      <c r="B210" t="s">
        <v>103</v>
      </c>
      <c r="C210" t="s">
        <v>68</v>
      </c>
      <c r="D210" t="s">
        <v>41</v>
      </c>
      <c r="E210" t="s">
        <v>34</v>
      </c>
      <c r="F210">
        <v>391</v>
      </c>
      <c r="G210">
        <v>21.72</v>
      </c>
      <c r="H210">
        <v>0.34599999999999997</v>
      </c>
      <c r="I210">
        <v>103</v>
      </c>
      <c r="J210">
        <v>78.97</v>
      </c>
      <c r="K210" t="b">
        <v>0</v>
      </c>
      <c r="L210">
        <v>1</v>
      </c>
      <c r="M210" t="s">
        <v>27</v>
      </c>
      <c r="N210">
        <v>12</v>
      </c>
      <c r="O210">
        <v>10</v>
      </c>
      <c r="P210">
        <v>147</v>
      </c>
      <c r="Q210" t="b">
        <v>0</v>
      </c>
      <c r="R210">
        <v>2.5575447570332401</v>
      </c>
      <c r="S210">
        <v>375.95907928388698</v>
      </c>
      <c r="T210" t="s">
        <v>28</v>
      </c>
      <c r="U210">
        <v>0</v>
      </c>
      <c r="V210">
        <v>10</v>
      </c>
      <c r="W210">
        <v>4</v>
      </c>
    </row>
    <row r="211" spans="1:23">
      <c r="A211" s="1">
        <v>45576</v>
      </c>
      <c r="B211" t="s">
        <v>103</v>
      </c>
      <c r="C211" t="s">
        <v>69</v>
      </c>
      <c r="D211" t="s">
        <v>43</v>
      </c>
      <c r="E211" t="s">
        <v>38</v>
      </c>
      <c r="F211">
        <v>432</v>
      </c>
      <c r="G211">
        <v>44.09</v>
      </c>
      <c r="H211">
        <v>0.66400000000000003</v>
      </c>
      <c r="I211">
        <v>78</v>
      </c>
      <c r="J211">
        <v>89.63</v>
      </c>
      <c r="K211" t="b">
        <v>0</v>
      </c>
      <c r="L211">
        <v>0</v>
      </c>
      <c r="M211" t="s">
        <v>35</v>
      </c>
      <c r="N211">
        <v>13</v>
      </c>
      <c r="O211">
        <v>10</v>
      </c>
      <c r="P211">
        <v>63</v>
      </c>
      <c r="Q211" t="b">
        <v>0</v>
      </c>
      <c r="R211">
        <v>0</v>
      </c>
      <c r="S211">
        <v>145.833333333333</v>
      </c>
      <c r="T211" t="s">
        <v>39</v>
      </c>
      <c r="U211">
        <v>0</v>
      </c>
      <c r="V211">
        <v>10</v>
      </c>
      <c r="W211">
        <v>4</v>
      </c>
    </row>
    <row r="212" spans="1:23">
      <c r="A212" s="1">
        <v>45576</v>
      </c>
      <c r="B212" t="s">
        <v>103</v>
      </c>
      <c r="C212" t="s">
        <v>70</v>
      </c>
      <c r="D212" t="s">
        <v>25</v>
      </c>
      <c r="E212" t="s">
        <v>47</v>
      </c>
      <c r="F212">
        <v>246</v>
      </c>
      <c r="G212">
        <v>32.49</v>
      </c>
      <c r="H212">
        <v>0.90300000000000002</v>
      </c>
      <c r="I212">
        <v>107</v>
      </c>
      <c r="J212">
        <v>88.44</v>
      </c>
      <c r="K212" t="b">
        <v>0</v>
      </c>
      <c r="L212">
        <v>1</v>
      </c>
      <c r="M212" t="s">
        <v>28</v>
      </c>
      <c r="N212">
        <v>14</v>
      </c>
      <c r="O212">
        <v>8</v>
      </c>
      <c r="P212">
        <v>117</v>
      </c>
      <c r="Q212" t="b">
        <v>0</v>
      </c>
      <c r="R212">
        <v>4.0650406504065</v>
      </c>
      <c r="S212">
        <v>475.60975609756099</v>
      </c>
      <c r="T212" t="s">
        <v>28</v>
      </c>
      <c r="U212">
        <v>0</v>
      </c>
      <c r="V212">
        <v>10</v>
      </c>
      <c r="W212">
        <v>4</v>
      </c>
    </row>
    <row r="213" spans="1:23">
      <c r="A213" s="1">
        <v>45576</v>
      </c>
      <c r="B213" t="s">
        <v>103</v>
      </c>
      <c r="C213" t="s">
        <v>71</v>
      </c>
      <c r="D213" t="s">
        <v>30</v>
      </c>
      <c r="E213" t="s">
        <v>26</v>
      </c>
      <c r="F213">
        <v>116</v>
      </c>
      <c r="G213">
        <v>52.06</v>
      </c>
      <c r="H213">
        <v>0.80500000000000005</v>
      </c>
      <c r="I213">
        <v>79</v>
      </c>
      <c r="J213">
        <v>57.12</v>
      </c>
      <c r="K213" t="b">
        <v>0</v>
      </c>
      <c r="L213">
        <v>2</v>
      </c>
      <c r="M213" t="s">
        <v>28</v>
      </c>
      <c r="N213">
        <v>12</v>
      </c>
      <c r="O213">
        <v>10</v>
      </c>
      <c r="P213">
        <v>123</v>
      </c>
      <c r="Q213" t="b">
        <v>0</v>
      </c>
      <c r="R213">
        <v>17.241379310344801</v>
      </c>
      <c r="S213">
        <v>1060.3448275861999</v>
      </c>
      <c r="T213" t="s">
        <v>39</v>
      </c>
      <c r="U213">
        <v>1</v>
      </c>
      <c r="V213">
        <v>10</v>
      </c>
      <c r="W213">
        <v>4</v>
      </c>
    </row>
    <row r="214" spans="1:23">
      <c r="A214" s="1">
        <v>45576</v>
      </c>
      <c r="B214" t="s">
        <v>103</v>
      </c>
      <c r="C214" t="s">
        <v>72</v>
      </c>
      <c r="D214" t="s">
        <v>33</v>
      </c>
      <c r="E214" t="s">
        <v>38</v>
      </c>
      <c r="F214">
        <v>128</v>
      </c>
      <c r="G214">
        <v>32.97</v>
      </c>
      <c r="H214">
        <v>0.22900000000000001</v>
      </c>
      <c r="I214">
        <v>115</v>
      </c>
      <c r="J214">
        <v>83.84</v>
      </c>
      <c r="K214" t="b">
        <v>0</v>
      </c>
      <c r="L214">
        <v>1</v>
      </c>
      <c r="M214" t="s">
        <v>28</v>
      </c>
      <c r="N214">
        <v>9</v>
      </c>
      <c r="O214">
        <v>4</v>
      </c>
      <c r="P214">
        <v>188</v>
      </c>
      <c r="Q214" t="b">
        <v>0</v>
      </c>
      <c r="R214">
        <v>7.8125</v>
      </c>
      <c r="S214">
        <v>1468.75</v>
      </c>
      <c r="T214" t="s">
        <v>28</v>
      </c>
      <c r="U214">
        <v>0</v>
      </c>
      <c r="V214">
        <v>10</v>
      </c>
      <c r="W214">
        <v>4</v>
      </c>
    </row>
    <row r="215" spans="1:23">
      <c r="A215" s="1">
        <v>45576</v>
      </c>
      <c r="B215" t="s">
        <v>103</v>
      </c>
      <c r="C215" t="s">
        <v>73</v>
      </c>
      <c r="D215" t="s">
        <v>37</v>
      </c>
      <c r="E215" t="s">
        <v>47</v>
      </c>
      <c r="F215">
        <v>132</v>
      </c>
      <c r="G215">
        <v>3.09</v>
      </c>
      <c r="H215">
        <v>0.76800000000000002</v>
      </c>
      <c r="I215">
        <v>90</v>
      </c>
      <c r="J215">
        <v>45.04</v>
      </c>
      <c r="K215" t="b">
        <v>0</v>
      </c>
      <c r="L215">
        <v>1</v>
      </c>
      <c r="M215" t="s">
        <v>28</v>
      </c>
      <c r="N215">
        <v>13</v>
      </c>
      <c r="O215">
        <v>6</v>
      </c>
      <c r="P215">
        <v>99</v>
      </c>
      <c r="Q215" t="b">
        <v>0</v>
      </c>
      <c r="R215">
        <v>7.5757575757575699</v>
      </c>
      <c r="S215">
        <v>750</v>
      </c>
      <c r="T215" t="s">
        <v>27</v>
      </c>
      <c r="U215">
        <v>1</v>
      </c>
      <c r="V215">
        <v>10</v>
      </c>
      <c r="W215">
        <v>4</v>
      </c>
    </row>
    <row r="216" spans="1:23">
      <c r="A216" s="1">
        <v>45576</v>
      </c>
      <c r="B216" t="s">
        <v>103</v>
      </c>
      <c r="C216" t="s">
        <v>74</v>
      </c>
      <c r="D216" t="s">
        <v>41</v>
      </c>
      <c r="E216" t="s">
        <v>26</v>
      </c>
      <c r="F216">
        <v>225</v>
      </c>
      <c r="G216">
        <v>31.58</v>
      </c>
      <c r="H216">
        <v>0.68700000000000006</v>
      </c>
      <c r="I216">
        <v>32</v>
      </c>
      <c r="J216">
        <v>64.63</v>
      </c>
      <c r="K216" t="b">
        <v>0</v>
      </c>
      <c r="L216">
        <v>0</v>
      </c>
      <c r="M216" t="s">
        <v>35</v>
      </c>
      <c r="N216">
        <v>8</v>
      </c>
      <c r="O216">
        <v>4</v>
      </c>
      <c r="P216">
        <v>1</v>
      </c>
      <c r="Q216" t="b">
        <v>0</v>
      </c>
      <c r="R216">
        <v>0</v>
      </c>
      <c r="S216">
        <v>4.4444444444444402</v>
      </c>
      <c r="T216" t="s">
        <v>28</v>
      </c>
      <c r="U216">
        <v>0</v>
      </c>
      <c r="V216">
        <v>10</v>
      </c>
      <c r="W216">
        <v>4</v>
      </c>
    </row>
    <row r="217" spans="1:23">
      <c r="A217" s="1">
        <v>45576</v>
      </c>
      <c r="B217" t="s">
        <v>103</v>
      </c>
      <c r="C217" t="s">
        <v>75</v>
      </c>
      <c r="D217" t="s">
        <v>43</v>
      </c>
      <c r="E217" t="s">
        <v>31</v>
      </c>
      <c r="F217">
        <v>262</v>
      </c>
      <c r="G217">
        <v>35.79</v>
      </c>
      <c r="H217">
        <v>0.65100000000000002</v>
      </c>
      <c r="I217">
        <v>172</v>
      </c>
      <c r="J217">
        <v>52.57</v>
      </c>
      <c r="K217" t="b">
        <v>0</v>
      </c>
      <c r="L217">
        <v>3</v>
      </c>
      <c r="M217" t="s">
        <v>27</v>
      </c>
      <c r="N217">
        <v>14</v>
      </c>
      <c r="O217">
        <v>4</v>
      </c>
      <c r="P217">
        <v>257</v>
      </c>
      <c r="Q217" t="b">
        <v>0</v>
      </c>
      <c r="R217">
        <v>11.450381679389301</v>
      </c>
      <c r="S217">
        <v>980.91603053435097</v>
      </c>
      <c r="T217" t="s">
        <v>28</v>
      </c>
      <c r="U217">
        <v>1</v>
      </c>
      <c r="V217">
        <v>10</v>
      </c>
      <c r="W217">
        <v>4</v>
      </c>
    </row>
    <row r="218" spans="1:23">
      <c r="A218" s="1">
        <v>45576</v>
      </c>
      <c r="B218" t="s">
        <v>103</v>
      </c>
      <c r="C218" t="s">
        <v>76</v>
      </c>
      <c r="D218" t="s">
        <v>25</v>
      </c>
      <c r="E218" t="s">
        <v>47</v>
      </c>
      <c r="F218">
        <v>220</v>
      </c>
      <c r="G218">
        <v>37.56</v>
      </c>
      <c r="H218">
        <v>0.14499999999999999</v>
      </c>
      <c r="I218">
        <v>62</v>
      </c>
      <c r="J218">
        <v>56.1</v>
      </c>
      <c r="K218" t="b">
        <v>0</v>
      </c>
      <c r="L218">
        <v>0</v>
      </c>
      <c r="M218" t="s">
        <v>35</v>
      </c>
      <c r="N218">
        <v>4</v>
      </c>
      <c r="O218">
        <v>1</v>
      </c>
      <c r="P218">
        <v>110</v>
      </c>
      <c r="Q218" t="b">
        <v>0</v>
      </c>
      <c r="R218">
        <v>0</v>
      </c>
      <c r="S218">
        <v>500</v>
      </c>
      <c r="T218" t="s">
        <v>28</v>
      </c>
      <c r="U218">
        <v>1</v>
      </c>
      <c r="V218">
        <v>10</v>
      </c>
      <c r="W218">
        <v>4</v>
      </c>
    </row>
    <row r="219" spans="1:23">
      <c r="A219" s="1">
        <v>45576</v>
      </c>
      <c r="B219" t="s">
        <v>103</v>
      </c>
      <c r="C219" t="s">
        <v>77</v>
      </c>
      <c r="D219" t="s">
        <v>30</v>
      </c>
      <c r="E219" t="s">
        <v>26</v>
      </c>
      <c r="F219">
        <v>217</v>
      </c>
      <c r="G219">
        <v>16.73</v>
      </c>
      <c r="H219">
        <v>0.05</v>
      </c>
      <c r="I219">
        <v>32</v>
      </c>
      <c r="J219">
        <v>34.39</v>
      </c>
      <c r="K219" t="b">
        <v>0</v>
      </c>
      <c r="L219">
        <v>0</v>
      </c>
      <c r="M219" t="s">
        <v>35</v>
      </c>
      <c r="N219">
        <v>15</v>
      </c>
      <c r="O219">
        <v>7</v>
      </c>
      <c r="P219">
        <v>53</v>
      </c>
      <c r="Q219" t="b">
        <v>0</v>
      </c>
      <c r="R219">
        <v>0</v>
      </c>
      <c r="S219">
        <v>244.23963133640501</v>
      </c>
      <c r="T219" t="s">
        <v>27</v>
      </c>
      <c r="U219">
        <v>1</v>
      </c>
      <c r="V219">
        <v>10</v>
      </c>
      <c r="W219">
        <v>4</v>
      </c>
    </row>
    <row r="220" spans="1:23">
      <c r="A220" s="1">
        <v>45576</v>
      </c>
      <c r="B220" t="s">
        <v>103</v>
      </c>
      <c r="C220" t="s">
        <v>78</v>
      </c>
      <c r="D220" t="s">
        <v>33</v>
      </c>
      <c r="E220" t="s">
        <v>31</v>
      </c>
      <c r="F220">
        <v>243</v>
      </c>
      <c r="G220">
        <v>36.08</v>
      </c>
      <c r="H220">
        <v>0.45200000000000001</v>
      </c>
      <c r="I220">
        <v>124</v>
      </c>
      <c r="J220">
        <v>68.430000000000007</v>
      </c>
      <c r="K220" t="b">
        <v>0</v>
      </c>
      <c r="L220">
        <v>1</v>
      </c>
      <c r="M220" t="s">
        <v>28</v>
      </c>
      <c r="N220">
        <v>14</v>
      </c>
      <c r="O220">
        <v>10</v>
      </c>
      <c r="P220">
        <v>199</v>
      </c>
      <c r="Q220" t="b">
        <v>0</v>
      </c>
      <c r="R220">
        <v>4.1152263374485596</v>
      </c>
      <c r="S220">
        <v>818.93004115226302</v>
      </c>
      <c r="T220" t="s">
        <v>28</v>
      </c>
      <c r="U220">
        <v>0</v>
      </c>
      <c r="V220">
        <v>10</v>
      </c>
      <c r="W220">
        <v>4</v>
      </c>
    </row>
    <row r="221" spans="1:23">
      <c r="A221" s="1">
        <v>45576</v>
      </c>
      <c r="B221" t="s">
        <v>103</v>
      </c>
      <c r="C221" t="s">
        <v>79</v>
      </c>
      <c r="D221" t="s">
        <v>37</v>
      </c>
      <c r="E221" t="s">
        <v>34</v>
      </c>
      <c r="F221">
        <v>129</v>
      </c>
      <c r="G221">
        <v>27.27</v>
      </c>
      <c r="H221">
        <v>0.46800000000000003</v>
      </c>
      <c r="I221">
        <v>23</v>
      </c>
      <c r="J221">
        <v>92.34</v>
      </c>
      <c r="K221" t="b">
        <v>0</v>
      </c>
      <c r="L221">
        <v>0</v>
      </c>
      <c r="M221" t="s">
        <v>35</v>
      </c>
      <c r="N221">
        <v>12</v>
      </c>
      <c r="O221">
        <v>1</v>
      </c>
      <c r="P221">
        <v>59</v>
      </c>
      <c r="Q221" t="b">
        <v>0</v>
      </c>
      <c r="R221">
        <v>0</v>
      </c>
      <c r="S221">
        <v>457.36434108527101</v>
      </c>
      <c r="T221" t="s">
        <v>28</v>
      </c>
      <c r="U221">
        <v>0</v>
      </c>
      <c r="V221">
        <v>10</v>
      </c>
      <c r="W221">
        <v>4</v>
      </c>
    </row>
    <row r="222" spans="1:23">
      <c r="A222" s="1">
        <v>45576</v>
      </c>
      <c r="B222" t="s">
        <v>103</v>
      </c>
      <c r="C222" t="s">
        <v>80</v>
      </c>
      <c r="D222" t="s">
        <v>41</v>
      </c>
      <c r="E222" t="s">
        <v>26</v>
      </c>
      <c r="F222">
        <v>203</v>
      </c>
      <c r="G222">
        <v>28.37</v>
      </c>
      <c r="H222">
        <v>0.71399999999999997</v>
      </c>
      <c r="I222">
        <v>175</v>
      </c>
      <c r="J222">
        <v>84.57</v>
      </c>
      <c r="K222" t="b">
        <v>0</v>
      </c>
      <c r="L222">
        <v>1</v>
      </c>
      <c r="M222" t="s">
        <v>28</v>
      </c>
      <c r="N222">
        <v>12</v>
      </c>
      <c r="O222">
        <v>1</v>
      </c>
      <c r="P222">
        <v>225</v>
      </c>
      <c r="Q222" t="b">
        <v>0</v>
      </c>
      <c r="R222">
        <v>4.9261083743842304</v>
      </c>
      <c r="S222">
        <v>1108.3743842364499</v>
      </c>
      <c r="T222" t="s">
        <v>28</v>
      </c>
      <c r="U222">
        <v>0</v>
      </c>
      <c r="V222">
        <v>10</v>
      </c>
      <c r="W222">
        <v>4</v>
      </c>
    </row>
    <row r="223" spans="1:23">
      <c r="A223" s="1">
        <v>45576</v>
      </c>
      <c r="B223" t="s">
        <v>103</v>
      </c>
      <c r="C223" t="s">
        <v>81</v>
      </c>
      <c r="D223" t="s">
        <v>43</v>
      </c>
      <c r="E223" t="s">
        <v>31</v>
      </c>
      <c r="F223">
        <v>80</v>
      </c>
      <c r="G223">
        <v>50.72</v>
      </c>
      <c r="H223">
        <v>0.81799999999999995</v>
      </c>
      <c r="I223">
        <v>56</v>
      </c>
      <c r="J223">
        <v>74.48</v>
      </c>
      <c r="K223" t="b">
        <v>0</v>
      </c>
      <c r="L223">
        <v>0</v>
      </c>
      <c r="M223" t="s">
        <v>35</v>
      </c>
      <c r="N223">
        <v>10</v>
      </c>
      <c r="O223">
        <v>1</v>
      </c>
      <c r="P223">
        <v>35</v>
      </c>
      <c r="Q223" t="b">
        <v>0</v>
      </c>
      <c r="R223">
        <v>0</v>
      </c>
      <c r="S223">
        <v>437.5</v>
      </c>
      <c r="T223" t="s">
        <v>39</v>
      </c>
      <c r="U223">
        <v>0</v>
      </c>
      <c r="V223">
        <v>10</v>
      </c>
      <c r="W223">
        <v>4</v>
      </c>
    </row>
    <row r="224" spans="1:23">
      <c r="A224" s="1">
        <v>45576</v>
      </c>
      <c r="B224" t="s">
        <v>103</v>
      </c>
      <c r="C224" t="s">
        <v>82</v>
      </c>
      <c r="D224" t="s">
        <v>25</v>
      </c>
      <c r="E224" t="s">
        <v>34</v>
      </c>
      <c r="F224">
        <v>125</v>
      </c>
      <c r="G224">
        <v>24.47</v>
      </c>
      <c r="H224">
        <v>0.39100000000000001</v>
      </c>
      <c r="I224">
        <v>154</v>
      </c>
      <c r="J224">
        <v>100</v>
      </c>
      <c r="K224" t="b">
        <v>0</v>
      </c>
      <c r="L224">
        <v>1</v>
      </c>
      <c r="M224" t="s">
        <v>28</v>
      </c>
      <c r="N224">
        <v>18</v>
      </c>
      <c r="O224">
        <v>7</v>
      </c>
      <c r="P224">
        <v>256</v>
      </c>
      <c r="Q224" t="b">
        <v>0</v>
      </c>
      <c r="R224">
        <v>8</v>
      </c>
      <c r="S224">
        <v>2048</v>
      </c>
      <c r="T224" t="s">
        <v>28</v>
      </c>
      <c r="U224">
        <v>0</v>
      </c>
      <c r="V224">
        <v>10</v>
      </c>
      <c r="W224">
        <v>4</v>
      </c>
    </row>
    <row r="225" spans="1:23">
      <c r="A225" s="1">
        <v>45576</v>
      </c>
      <c r="B225" t="s">
        <v>103</v>
      </c>
      <c r="C225" t="s">
        <v>83</v>
      </c>
      <c r="D225" t="s">
        <v>30</v>
      </c>
      <c r="E225" t="s">
        <v>38</v>
      </c>
      <c r="F225">
        <v>304</v>
      </c>
      <c r="G225">
        <v>49.51</v>
      </c>
      <c r="H225">
        <v>0.34599999999999997</v>
      </c>
      <c r="I225">
        <v>168</v>
      </c>
      <c r="J225">
        <v>75.31</v>
      </c>
      <c r="K225" t="b">
        <v>0</v>
      </c>
      <c r="L225">
        <v>1</v>
      </c>
      <c r="M225" t="s">
        <v>28</v>
      </c>
      <c r="N225">
        <v>12</v>
      </c>
      <c r="O225">
        <v>6</v>
      </c>
      <c r="P225">
        <v>250</v>
      </c>
      <c r="Q225" t="b">
        <v>0</v>
      </c>
      <c r="R225">
        <v>3.2894736842105199</v>
      </c>
      <c r="S225">
        <v>822.36842105263099</v>
      </c>
      <c r="T225" t="s">
        <v>39</v>
      </c>
      <c r="U225">
        <v>0</v>
      </c>
      <c r="V225">
        <v>10</v>
      </c>
      <c r="W225">
        <v>4</v>
      </c>
    </row>
    <row r="226" spans="1:23">
      <c r="A226" s="1">
        <v>45576</v>
      </c>
      <c r="B226" t="s">
        <v>103</v>
      </c>
      <c r="C226" t="s">
        <v>84</v>
      </c>
      <c r="D226" t="s">
        <v>33</v>
      </c>
      <c r="E226" t="s">
        <v>31</v>
      </c>
      <c r="F226">
        <v>261</v>
      </c>
      <c r="G226">
        <v>20.260000000000002</v>
      </c>
      <c r="H226">
        <v>0.47</v>
      </c>
      <c r="I226">
        <v>125</v>
      </c>
      <c r="J226">
        <v>63.07</v>
      </c>
      <c r="K226" t="b">
        <v>0</v>
      </c>
      <c r="L226">
        <v>1</v>
      </c>
      <c r="M226" t="s">
        <v>28</v>
      </c>
      <c r="N226">
        <v>8</v>
      </c>
      <c r="O226">
        <v>2</v>
      </c>
      <c r="P226">
        <v>224</v>
      </c>
      <c r="Q226" t="b">
        <v>0</v>
      </c>
      <c r="R226">
        <v>3.83141762452107</v>
      </c>
      <c r="S226">
        <v>858.23754789272004</v>
      </c>
      <c r="T226" t="s">
        <v>28</v>
      </c>
      <c r="U226">
        <v>0</v>
      </c>
      <c r="V226">
        <v>10</v>
      </c>
      <c r="W226">
        <v>4</v>
      </c>
    </row>
    <row r="227" spans="1:23">
      <c r="A227" s="1">
        <v>45576</v>
      </c>
      <c r="B227" t="s">
        <v>103</v>
      </c>
      <c r="C227" t="s">
        <v>86</v>
      </c>
      <c r="D227" t="s">
        <v>37</v>
      </c>
      <c r="E227" t="s">
        <v>34</v>
      </c>
      <c r="F227">
        <v>405</v>
      </c>
      <c r="G227">
        <v>10.97</v>
      </c>
      <c r="H227">
        <v>0.73499999999999999</v>
      </c>
      <c r="I227">
        <v>184</v>
      </c>
      <c r="J227">
        <v>58.13</v>
      </c>
      <c r="K227" t="b">
        <v>0</v>
      </c>
      <c r="L227">
        <v>2</v>
      </c>
      <c r="M227" t="s">
        <v>28</v>
      </c>
      <c r="N227">
        <v>12</v>
      </c>
      <c r="O227">
        <v>6</v>
      </c>
      <c r="P227">
        <v>270</v>
      </c>
      <c r="Q227" t="b">
        <v>0</v>
      </c>
      <c r="R227">
        <v>4.9382716049382704</v>
      </c>
      <c r="S227">
        <v>666.66666666666595</v>
      </c>
      <c r="T227" t="s">
        <v>27</v>
      </c>
      <c r="U227">
        <v>1</v>
      </c>
      <c r="V227">
        <v>10</v>
      </c>
      <c r="W227">
        <v>4</v>
      </c>
    </row>
    <row r="228" spans="1:23">
      <c r="A228" s="1">
        <v>45576</v>
      </c>
      <c r="B228" t="s">
        <v>103</v>
      </c>
      <c r="C228" t="s">
        <v>87</v>
      </c>
      <c r="D228" t="s">
        <v>41</v>
      </c>
      <c r="E228" t="s">
        <v>38</v>
      </c>
      <c r="F228">
        <v>83</v>
      </c>
      <c r="G228">
        <v>40.770000000000003</v>
      </c>
      <c r="H228">
        <v>0.26100000000000001</v>
      </c>
      <c r="I228">
        <v>181</v>
      </c>
      <c r="J228">
        <v>56.63</v>
      </c>
      <c r="K228" t="b">
        <v>0</v>
      </c>
      <c r="L228">
        <v>1</v>
      </c>
      <c r="M228" t="s">
        <v>27</v>
      </c>
      <c r="N228">
        <v>10</v>
      </c>
      <c r="O228">
        <v>8</v>
      </c>
      <c r="P228">
        <v>306</v>
      </c>
      <c r="Q228" t="b">
        <v>0</v>
      </c>
      <c r="R228">
        <v>12.048192771084301</v>
      </c>
      <c r="S228">
        <v>3686.7469879517998</v>
      </c>
      <c r="T228" t="s">
        <v>39</v>
      </c>
      <c r="U228">
        <v>1</v>
      </c>
      <c r="V228">
        <v>10</v>
      </c>
      <c r="W228">
        <v>4</v>
      </c>
    </row>
    <row r="229" spans="1:23">
      <c r="A229" s="1">
        <v>45576</v>
      </c>
      <c r="B229" t="s">
        <v>103</v>
      </c>
      <c r="C229" t="s">
        <v>88</v>
      </c>
      <c r="D229" t="s">
        <v>43</v>
      </c>
      <c r="E229" t="s">
        <v>47</v>
      </c>
      <c r="F229">
        <v>306</v>
      </c>
      <c r="G229">
        <v>36.44</v>
      </c>
      <c r="H229">
        <v>0.57499999999999996</v>
      </c>
      <c r="I229">
        <v>133</v>
      </c>
      <c r="J229">
        <v>37.15</v>
      </c>
      <c r="K229" t="b">
        <v>0</v>
      </c>
      <c r="L229">
        <v>1</v>
      </c>
      <c r="M229" t="s">
        <v>27</v>
      </c>
      <c r="N229">
        <v>19</v>
      </c>
      <c r="O229">
        <v>4</v>
      </c>
      <c r="P229">
        <v>218</v>
      </c>
      <c r="Q229" t="b">
        <v>0</v>
      </c>
      <c r="R229">
        <v>3.2679738562091498</v>
      </c>
      <c r="S229">
        <v>712.41830065359397</v>
      </c>
      <c r="T229" t="s">
        <v>28</v>
      </c>
      <c r="U229">
        <v>1</v>
      </c>
      <c r="V229">
        <v>10</v>
      </c>
      <c r="W229">
        <v>4</v>
      </c>
    </row>
    <row r="230" spans="1:23">
      <c r="A230" s="1">
        <v>45576</v>
      </c>
      <c r="B230" t="s">
        <v>103</v>
      </c>
      <c r="C230" t="s">
        <v>89</v>
      </c>
      <c r="D230" t="s">
        <v>25</v>
      </c>
      <c r="E230" t="s">
        <v>34</v>
      </c>
      <c r="F230">
        <v>112</v>
      </c>
      <c r="G230">
        <v>13.28</v>
      </c>
      <c r="H230">
        <v>0.77100000000000002</v>
      </c>
      <c r="I230">
        <v>221</v>
      </c>
      <c r="J230">
        <v>48.79</v>
      </c>
      <c r="K230" t="b">
        <v>0</v>
      </c>
      <c r="L230">
        <v>1</v>
      </c>
      <c r="M230" t="s">
        <v>39</v>
      </c>
      <c r="N230">
        <v>20</v>
      </c>
      <c r="O230">
        <v>1</v>
      </c>
      <c r="P230">
        <v>293</v>
      </c>
      <c r="Q230" t="b">
        <v>0</v>
      </c>
      <c r="R230">
        <v>8.9285714285714199</v>
      </c>
      <c r="S230">
        <v>2616.0714285714198</v>
      </c>
      <c r="T230" t="s">
        <v>27</v>
      </c>
      <c r="U230">
        <v>1</v>
      </c>
      <c r="V230">
        <v>10</v>
      </c>
      <c r="W230">
        <v>4</v>
      </c>
    </row>
    <row r="231" spans="1:23">
      <c r="A231" s="1">
        <v>45576</v>
      </c>
      <c r="B231" t="s">
        <v>103</v>
      </c>
      <c r="C231" t="s">
        <v>90</v>
      </c>
      <c r="D231" t="s">
        <v>30</v>
      </c>
      <c r="E231" t="s">
        <v>38</v>
      </c>
      <c r="F231">
        <v>291</v>
      </c>
      <c r="G231">
        <v>39.090000000000003</v>
      </c>
      <c r="H231">
        <v>0.27700000000000002</v>
      </c>
      <c r="I231">
        <v>192</v>
      </c>
      <c r="J231">
        <v>30.69</v>
      </c>
      <c r="K231" t="b">
        <v>0</v>
      </c>
      <c r="L231">
        <v>4</v>
      </c>
      <c r="M231" t="s">
        <v>28</v>
      </c>
      <c r="N231">
        <v>16</v>
      </c>
      <c r="O231">
        <v>8</v>
      </c>
      <c r="P231">
        <v>279</v>
      </c>
      <c r="Q231" t="b">
        <v>0</v>
      </c>
      <c r="R231">
        <v>13.7457044673539</v>
      </c>
      <c r="S231">
        <v>958.76288659793795</v>
      </c>
      <c r="T231" t="s">
        <v>28</v>
      </c>
      <c r="U231">
        <v>1</v>
      </c>
      <c r="V231">
        <v>10</v>
      </c>
      <c r="W231">
        <v>4</v>
      </c>
    </row>
    <row r="232" spans="1:23">
      <c r="A232" s="1">
        <v>45576</v>
      </c>
      <c r="B232" t="s">
        <v>103</v>
      </c>
      <c r="C232" t="s">
        <v>91</v>
      </c>
      <c r="D232" t="s">
        <v>33</v>
      </c>
      <c r="E232" t="s">
        <v>47</v>
      </c>
      <c r="F232">
        <v>80</v>
      </c>
      <c r="G232">
        <v>19.899999999999999</v>
      </c>
      <c r="H232">
        <v>0.34499999999999997</v>
      </c>
      <c r="I232">
        <v>202</v>
      </c>
      <c r="J232">
        <v>48.73</v>
      </c>
      <c r="K232" t="b">
        <v>0</v>
      </c>
      <c r="L232">
        <v>1</v>
      </c>
      <c r="M232" t="s">
        <v>27</v>
      </c>
      <c r="N232">
        <v>16</v>
      </c>
      <c r="O232">
        <v>9</v>
      </c>
      <c r="P232">
        <v>293</v>
      </c>
      <c r="Q232" t="b">
        <v>0</v>
      </c>
      <c r="R232">
        <v>12.5</v>
      </c>
      <c r="S232">
        <v>3662.5</v>
      </c>
      <c r="T232" t="s">
        <v>27</v>
      </c>
      <c r="U232">
        <v>1</v>
      </c>
      <c r="V232">
        <v>10</v>
      </c>
      <c r="W232">
        <v>4</v>
      </c>
    </row>
    <row r="233" spans="1:23">
      <c r="A233" s="1">
        <v>45576</v>
      </c>
      <c r="B233" t="s">
        <v>103</v>
      </c>
      <c r="C233" t="s">
        <v>92</v>
      </c>
      <c r="D233" t="s">
        <v>37</v>
      </c>
      <c r="E233" t="s">
        <v>26</v>
      </c>
      <c r="F233">
        <v>131</v>
      </c>
      <c r="G233">
        <v>44.42</v>
      </c>
      <c r="H233">
        <v>0.52500000000000002</v>
      </c>
      <c r="I233">
        <v>161</v>
      </c>
      <c r="J233">
        <v>69.37</v>
      </c>
      <c r="K233" t="b">
        <v>0</v>
      </c>
      <c r="L233">
        <v>2</v>
      </c>
      <c r="M233" t="s">
        <v>28</v>
      </c>
      <c r="N233">
        <v>18</v>
      </c>
      <c r="O233">
        <v>2</v>
      </c>
      <c r="P233">
        <v>148</v>
      </c>
      <c r="Q233" t="b">
        <v>0</v>
      </c>
      <c r="R233">
        <v>15.267175572518999</v>
      </c>
      <c r="S233">
        <v>1129.7709923664099</v>
      </c>
      <c r="T233" t="s">
        <v>39</v>
      </c>
      <c r="U233">
        <v>0</v>
      </c>
      <c r="V233">
        <v>10</v>
      </c>
      <c r="W233">
        <v>4</v>
      </c>
    </row>
    <row r="234" spans="1:23">
      <c r="A234" s="1">
        <v>45576</v>
      </c>
      <c r="B234" t="s">
        <v>103</v>
      </c>
      <c r="C234" t="s">
        <v>93</v>
      </c>
      <c r="D234" t="s">
        <v>41</v>
      </c>
      <c r="E234" t="s">
        <v>38</v>
      </c>
      <c r="F234">
        <v>163</v>
      </c>
      <c r="G234">
        <v>9.86</v>
      </c>
      <c r="H234">
        <v>0.78300000000000003</v>
      </c>
      <c r="I234">
        <v>147</v>
      </c>
      <c r="J234">
        <v>81.37</v>
      </c>
      <c r="K234" t="b">
        <v>0</v>
      </c>
      <c r="L234">
        <v>2</v>
      </c>
      <c r="M234" t="s">
        <v>28</v>
      </c>
      <c r="N234">
        <v>8</v>
      </c>
      <c r="O234">
        <v>6</v>
      </c>
      <c r="P234">
        <v>205</v>
      </c>
      <c r="Q234" t="b">
        <v>0</v>
      </c>
      <c r="R234">
        <v>12.269938650306701</v>
      </c>
      <c r="S234">
        <v>1257.6687116564401</v>
      </c>
      <c r="T234" t="s">
        <v>27</v>
      </c>
      <c r="U234">
        <v>0</v>
      </c>
      <c r="V234">
        <v>10</v>
      </c>
      <c r="W234">
        <v>4</v>
      </c>
    </row>
    <row r="235" spans="1:23">
      <c r="A235" s="1">
        <v>45576</v>
      </c>
      <c r="B235" t="s">
        <v>103</v>
      </c>
      <c r="C235" t="s">
        <v>94</v>
      </c>
      <c r="D235" t="s">
        <v>43</v>
      </c>
      <c r="E235" t="s">
        <v>47</v>
      </c>
      <c r="F235">
        <v>80</v>
      </c>
      <c r="G235">
        <v>25.33</v>
      </c>
      <c r="H235">
        <v>0.86499999999999999</v>
      </c>
      <c r="I235">
        <v>94</v>
      </c>
      <c r="J235">
        <v>55.88</v>
      </c>
      <c r="K235" t="b">
        <v>0</v>
      </c>
      <c r="L235">
        <v>3</v>
      </c>
      <c r="M235" t="s">
        <v>27</v>
      </c>
      <c r="N235">
        <v>8</v>
      </c>
      <c r="O235">
        <v>10</v>
      </c>
      <c r="P235">
        <v>135</v>
      </c>
      <c r="Q235" t="b">
        <v>0</v>
      </c>
      <c r="R235">
        <v>37.5</v>
      </c>
      <c r="S235">
        <v>1687.5</v>
      </c>
      <c r="T235" t="s">
        <v>28</v>
      </c>
      <c r="U235">
        <v>1</v>
      </c>
      <c r="V235">
        <v>10</v>
      </c>
      <c r="W235">
        <v>4</v>
      </c>
    </row>
    <row r="236" spans="1:23">
      <c r="A236" s="1">
        <v>45576</v>
      </c>
      <c r="B236" t="s">
        <v>103</v>
      </c>
      <c r="C236" t="s">
        <v>95</v>
      </c>
      <c r="D236" t="s">
        <v>25</v>
      </c>
      <c r="E236" t="s">
        <v>26</v>
      </c>
      <c r="F236">
        <v>112</v>
      </c>
      <c r="G236">
        <v>20.12</v>
      </c>
      <c r="H236">
        <v>0.84599999999999997</v>
      </c>
      <c r="I236">
        <v>59</v>
      </c>
      <c r="J236">
        <v>79.819999999999993</v>
      </c>
      <c r="K236" t="b">
        <v>0</v>
      </c>
      <c r="L236">
        <v>1</v>
      </c>
      <c r="M236" t="s">
        <v>28</v>
      </c>
      <c r="N236">
        <v>8</v>
      </c>
      <c r="O236">
        <v>10</v>
      </c>
      <c r="P236">
        <v>57</v>
      </c>
      <c r="Q236" t="b">
        <v>0</v>
      </c>
      <c r="R236">
        <v>8.9285714285714199</v>
      </c>
      <c r="S236">
        <v>508.92857142857099</v>
      </c>
      <c r="T236" t="s">
        <v>28</v>
      </c>
      <c r="U236">
        <v>0</v>
      </c>
      <c r="V236">
        <v>10</v>
      </c>
      <c r="W236">
        <v>4</v>
      </c>
    </row>
    <row r="237" spans="1:23">
      <c r="A237" s="1">
        <v>45576</v>
      </c>
      <c r="B237" t="s">
        <v>103</v>
      </c>
      <c r="C237" t="s">
        <v>96</v>
      </c>
      <c r="D237" t="s">
        <v>30</v>
      </c>
      <c r="E237" t="s">
        <v>31</v>
      </c>
      <c r="F237">
        <v>582</v>
      </c>
      <c r="G237">
        <v>11.99</v>
      </c>
      <c r="H237">
        <v>6.5000000000000002E-2</v>
      </c>
      <c r="I237">
        <v>231</v>
      </c>
      <c r="J237">
        <v>97.33</v>
      </c>
      <c r="K237" t="b">
        <v>0</v>
      </c>
      <c r="L237">
        <v>0</v>
      </c>
      <c r="M237" t="s">
        <v>35</v>
      </c>
      <c r="N237">
        <v>19</v>
      </c>
      <c r="O237">
        <v>6</v>
      </c>
      <c r="P237">
        <v>274</v>
      </c>
      <c r="Q237" t="b">
        <v>0</v>
      </c>
      <c r="R237">
        <v>0</v>
      </c>
      <c r="S237">
        <v>470.790378006872</v>
      </c>
      <c r="T237" t="s">
        <v>27</v>
      </c>
      <c r="U237">
        <v>0</v>
      </c>
      <c r="V237">
        <v>10</v>
      </c>
      <c r="W237">
        <v>4</v>
      </c>
    </row>
    <row r="238" spans="1:23">
      <c r="A238" s="1">
        <v>45576</v>
      </c>
      <c r="B238" t="s">
        <v>103</v>
      </c>
      <c r="C238" t="s">
        <v>97</v>
      </c>
      <c r="D238" t="s">
        <v>33</v>
      </c>
      <c r="E238" t="s">
        <v>47</v>
      </c>
      <c r="F238">
        <v>351</v>
      </c>
      <c r="G238">
        <v>34.770000000000003</v>
      </c>
      <c r="H238">
        <v>0.49399999999999999</v>
      </c>
      <c r="I238">
        <v>108</v>
      </c>
      <c r="J238">
        <v>86.96</v>
      </c>
      <c r="K238" t="b">
        <v>0</v>
      </c>
      <c r="L238">
        <v>2</v>
      </c>
      <c r="M238" t="s">
        <v>39</v>
      </c>
      <c r="N238">
        <v>11</v>
      </c>
      <c r="O238">
        <v>3</v>
      </c>
      <c r="P238">
        <v>155</v>
      </c>
      <c r="Q238" t="b">
        <v>0</v>
      </c>
      <c r="R238">
        <v>5.6980056980056899</v>
      </c>
      <c r="S238">
        <v>441.595441595441</v>
      </c>
      <c r="T238" t="s">
        <v>28</v>
      </c>
      <c r="U238">
        <v>0</v>
      </c>
      <c r="V238">
        <v>10</v>
      </c>
      <c r="W238">
        <v>4</v>
      </c>
    </row>
    <row r="239" spans="1:23">
      <c r="A239" s="1">
        <v>45576</v>
      </c>
      <c r="B239" t="s">
        <v>103</v>
      </c>
      <c r="C239" t="s">
        <v>98</v>
      </c>
      <c r="D239" t="s">
        <v>37</v>
      </c>
      <c r="E239" t="s">
        <v>26</v>
      </c>
      <c r="F239">
        <v>244</v>
      </c>
      <c r="G239">
        <v>48.02</v>
      </c>
      <c r="H239">
        <v>0.9</v>
      </c>
      <c r="I239">
        <v>88</v>
      </c>
      <c r="J239">
        <v>63.18</v>
      </c>
      <c r="K239" t="b">
        <v>0</v>
      </c>
      <c r="L239">
        <v>1</v>
      </c>
      <c r="M239" t="s">
        <v>27</v>
      </c>
      <c r="N239">
        <v>5</v>
      </c>
      <c r="O239">
        <v>7</v>
      </c>
      <c r="P239">
        <v>132</v>
      </c>
      <c r="Q239" t="b">
        <v>0</v>
      </c>
      <c r="R239">
        <v>4.0983606557377001</v>
      </c>
      <c r="S239">
        <v>540.98360655737702</v>
      </c>
      <c r="T239" t="s">
        <v>39</v>
      </c>
      <c r="U239">
        <v>0</v>
      </c>
      <c r="V239">
        <v>10</v>
      </c>
      <c r="W239">
        <v>4</v>
      </c>
    </row>
    <row r="240" spans="1:23">
      <c r="A240" s="1">
        <v>45576</v>
      </c>
      <c r="B240" t="s">
        <v>103</v>
      </c>
      <c r="C240" t="s">
        <v>99</v>
      </c>
      <c r="D240" t="s">
        <v>41</v>
      </c>
      <c r="E240" t="s">
        <v>31</v>
      </c>
      <c r="F240">
        <v>159</v>
      </c>
      <c r="G240">
        <v>51.63</v>
      </c>
      <c r="H240">
        <v>0.315</v>
      </c>
      <c r="I240">
        <v>91</v>
      </c>
      <c r="J240">
        <v>49.89</v>
      </c>
      <c r="K240" t="b">
        <v>0</v>
      </c>
      <c r="L240">
        <v>2</v>
      </c>
      <c r="M240" t="s">
        <v>27</v>
      </c>
      <c r="N240">
        <v>17</v>
      </c>
      <c r="O240">
        <v>2</v>
      </c>
      <c r="P240">
        <v>201</v>
      </c>
      <c r="Q240" t="b">
        <v>0</v>
      </c>
      <c r="R240">
        <v>12.5786163522012</v>
      </c>
      <c r="S240">
        <v>1264.1509433962201</v>
      </c>
      <c r="T240" t="s">
        <v>39</v>
      </c>
      <c r="U240">
        <v>1</v>
      </c>
      <c r="V240">
        <v>10</v>
      </c>
      <c r="W240">
        <v>4</v>
      </c>
    </row>
    <row r="241" spans="1:23">
      <c r="A241" s="1">
        <v>45576</v>
      </c>
      <c r="B241" t="s">
        <v>103</v>
      </c>
      <c r="C241" t="s">
        <v>100</v>
      </c>
      <c r="D241" t="s">
        <v>43</v>
      </c>
      <c r="E241" t="s">
        <v>34</v>
      </c>
      <c r="F241">
        <v>152</v>
      </c>
      <c r="G241">
        <v>39.04</v>
      </c>
      <c r="H241">
        <v>0.16600000000000001</v>
      </c>
      <c r="I241">
        <v>187</v>
      </c>
      <c r="J241">
        <v>93.3</v>
      </c>
      <c r="K241" t="b">
        <v>0</v>
      </c>
      <c r="L241">
        <v>0</v>
      </c>
      <c r="M241" t="s">
        <v>35</v>
      </c>
      <c r="N241">
        <v>19</v>
      </c>
      <c r="O241">
        <v>10</v>
      </c>
      <c r="P241">
        <v>322</v>
      </c>
      <c r="Q241" t="b">
        <v>0</v>
      </c>
      <c r="R241">
        <v>0</v>
      </c>
      <c r="S241">
        <v>2118.4210526315701</v>
      </c>
      <c r="T241" t="s">
        <v>28</v>
      </c>
      <c r="U241">
        <v>0</v>
      </c>
      <c r="V241">
        <v>10</v>
      </c>
      <c r="W241">
        <v>4</v>
      </c>
    </row>
    <row r="242" spans="1:23">
      <c r="A242" s="1">
        <v>45666</v>
      </c>
      <c r="B242" t="s">
        <v>104</v>
      </c>
      <c r="C242" t="s">
        <v>24</v>
      </c>
      <c r="D242" t="s">
        <v>25</v>
      </c>
      <c r="E242" t="s">
        <v>26</v>
      </c>
      <c r="F242">
        <v>103</v>
      </c>
      <c r="G242">
        <v>29.17</v>
      </c>
      <c r="H242">
        <v>0.80900000000000005</v>
      </c>
      <c r="I242">
        <v>61</v>
      </c>
      <c r="J242">
        <v>71.05</v>
      </c>
      <c r="K242" t="b">
        <v>0</v>
      </c>
      <c r="L242">
        <v>0</v>
      </c>
      <c r="M242" t="s">
        <v>35</v>
      </c>
      <c r="N242">
        <v>14</v>
      </c>
      <c r="O242">
        <v>6</v>
      </c>
      <c r="P242">
        <v>108</v>
      </c>
      <c r="Q242" t="b">
        <v>0</v>
      </c>
      <c r="R242">
        <v>0</v>
      </c>
      <c r="S242">
        <v>1048.5436893203801</v>
      </c>
      <c r="T242" t="s">
        <v>28</v>
      </c>
      <c r="U242">
        <v>0</v>
      </c>
      <c r="V242">
        <v>1</v>
      </c>
      <c r="W242">
        <v>1</v>
      </c>
    </row>
    <row r="243" spans="1:23">
      <c r="A243" s="1">
        <v>45666</v>
      </c>
      <c r="B243" t="s">
        <v>104</v>
      </c>
      <c r="C243" t="s">
        <v>29</v>
      </c>
      <c r="D243" t="s">
        <v>30</v>
      </c>
      <c r="E243" t="s">
        <v>31</v>
      </c>
      <c r="F243">
        <v>215</v>
      </c>
      <c r="G243">
        <v>44.8</v>
      </c>
      <c r="H243">
        <v>0.63200000000000001</v>
      </c>
      <c r="I243">
        <v>76</v>
      </c>
      <c r="J243">
        <v>41.54</v>
      </c>
      <c r="K243" t="b">
        <v>0</v>
      </c>
      <c r="L243">
        <v>3</v>
      </c>
      <c r="M243" t="s">
        <v>27</v>
      </c>
      <c r="N243">
        <v>13</v>
      </c>
      <c r="O243">
        <v>8</v>
      </c>
      <c r="P243">
        <v>139</v>
      </c>
      <c r="Q243" t="b">
        <v>0</v>
      </c>
      <c r="R243">
        <v>13.953488372093</v>
      </c>
      <c r="S243">
        <v>646.51162790697595</v>
      </c>
      <c r="T243" t="s">
        <v>39</v>
      </c>
      <c r="U243">
        <v>1</v>
      </c>
      <c r="V243">
        <v>1</v>
      </c>
      <c r="W243">
        <v>1</v>
      </c>
    </row>
    <row r="244" spans="1:23">
      <c r="A244" s="1">
        <v>45666</v>
      </c>
      <c r="B244" t="s">
        <v>104</v>
      </c>
      <c r="C244" t="s">
        <v>32</v>
      </c>
      <c r="D244" t="s">
        <v>33</v>
      </c>
      <c r="E244" t="s">
        <v>34</v>
      </c>
      <c r="F244">
        <v>176</v>
      </c>
      <c r="G244">
        <v>34.18</v>
      </c>
      <c r="H244">
        <v>0.61399999999999999</v>
      </c>
      <c r="I244">
        <v>0</v>
      </c>
      <c r="J244">
        <v>64.37</v>
      </c>
      <c r="K244" t="b">
        <v>0</v>
      </c>
      <c r="L244">
        <v>1</v>
      </c>
      <c r="M244" t="s">
        <v>27</v>
      </c>
      <c r="N244">
        <v>6</v>
      </c>
      <c r="O244">
        <v>5</v>
      </c>
      <c r="P244">
        <v>1</v>
      </c>
      <c r="Q244" t="b">
        <v>0</v>
      </c>
      <c r="R244">
        <v>5.6818181818181799</v>
      </c>
      <c r="S244">
        <v>5.6818181818181799</v>
      </c>
      <c r="T244" t="s">
        <v>28</v>
      </c>
      <c r="U244">
        <v>0</v>
      </c>
      <c r="V244">
        <v>1</v>
      </c>
      <c r="W244">
        <v>1</v>
      </c>
    </row>
    <row r="245" spans="1:23">
      <c r="A245" s="1">
        <v>45666</v>
      </c>
      <c r="B245" t="s">
        <v>104</v>
      </c>
      <c r="C245" t="s">
        <v>36</v>
      </c>
      <c r="D245" t="s">
        <v>37</v>
      </c>
      <c r="E245" t="s">
        <v>38</v>
      </c>
      <c r="F245">
        <v>150</v>
      </c>
      <c r="G245">
        <v>47.81</v>
      </c>
      <c r="H245">
        <v>9.8000000000000004E-2</v>
      </c>
      <c r="I245">
        <v>111</v>
      </c>
      <c r="J245">
        <v>69.86</v>
      </c>
      <c r="K245" t="b">
        <v>0</v>
      </c>
      <c r="L245">
        <v>4</v>
      </c>
      <c r="M245" t="s">
        <v>27</v>
      </c>
      <c r="N245">
        <v>9</v>
      </c>
      <c r="O245">
        <v>3</v>
      </c>
      <c r="P245">
        <v>131</v>
      </c>
      <c r="Q245" t="b">
        <v>0</v>
      </c>
      <c r="R245">
        <v>26.6666666666666</v>
      </c>
      <c r="S245">
        <v>873.33333333333303</v>
      </c>
      <c r="T245" t="s">
        <v>39</v>
      </c>
      <c r="U245">
        <v>0</v>
      </c>
      <c r="V245">
        <v>1</v>
      </c>
      <c r="W245">
        <v>1</v>
      </c>
    </row>
    <row r="246" spans="1:23">
      <c r="A246" s="1">
        <v>45666</v>
      </c>
      <c r="B246" t="s">
        <v>104</v>
      </c>
      <c r="C246" t="s">
        <v>40</v>
      </c>
      <c r="D246" t="s">
        <v>41</v>
      </c>
      <c r="E246" t="s">
        <v>31</v>
      </c>
      <c r="F246">
        <v>235</v>
      </c>
      <c r="G246">
        <v>42.58</v>
      </c>
      <c r="H246">
        <v>0.73299999999999998</v>
      </c>
      <c r="I246">
        <v>161</v>
      </c>
      <c r="J246">
        <v>78.459999999999994</v>
      </c>
      <c r="K246" t="b">
        <v>0</v>
      </c>
      <c r="L246">
        <v>0</v>
      </c>
      <c r="M246" t="s">
        <v>35</v>
      </c>
      <c r="N246">
        <v>14</v>
      </c>
      <c r="O246">
        <v>4</v>
      </c>
      <c r="P246">
        <v>235</v>
      </c>
      <c r="Q246" t="b">
        <v>0</v>
      </c>
      <c r="R246">
        <v>0</v>
      </c>
      <c r="S246">
        <v>1000</v>
      </c>
      <c r="T246" t="s">
        <v>39</v>
      </c>
      <c r="U246">
        <v>0</v>
      </c>
      <c r="V246">
        <v>1</v>
      </c>
      <c r="W246">
        <v>1</v>
      </c>
    </row>
    <row r="247" spans="1:23">
      <c r="A247" s="1">
        <v>45666</v>
      </c>
      <c r="B247" t="s">
        <v>104</v>
      </c>
      <c r="C247" t="s">
        <v>42</v>
      </c>
      <c r="D247" t="s">
        <v>43</v>
      </c>
      <c r="E247" t="s">
        <v>34</v>
      </c>
      <c r="F247">
        <v>333</v>
      </c>
      <c r="G247">
        <v>32.130000000000003</v>
      </c>
      <c r="H247">
        <v>0.38</v>
      </c>
      <c r="I247">
        <v>56</v>
      </c>
      <c r="J247">
        <v>50.04</v>
      </c>
      <c r="K247" t="b">
        <v>0</v>
      </c>
      <c r="L247">
        <v>0</v>
      </c>
      <c r="M247" t="s">
        <v>35</v>
      </c>
      <c r="N247">
        <v>5</v>
      </c>
      <c r="O247">
        <v>8</v>
      </c>
      <c r="P247">
        <v>83</v>
      </c>
      <c r="Q247" t="b">
        <v>0</v>
      </c>
      <c r="R247">
        <v>0</v>
      </c>
      <c r="S247">
        <v>249.249249249249</v>
      </c>
      <c r="T247" t="s">
        <v>28</v>
      </c>
      <c r="U247">
        <v>1</v>
      </c>
      <c r="V247">
        <v>1</v>
      </c>
      <c r="W247">
        <v>1</v>
      </c>
    </row>
    <row r="248" spans="1:23">
      <c r="A248" s="1">
        <v>45666</v>
      </c>
      <c r="B248" t="s">
        <v>104</v>
      </c>
      <c r="C248" t="s">
        <v>45</v>
      </c>
      <c r="D248" t="s">
        <v>25</v>
      </c>
      <c r="E248" t="s">
        <v>38</v>
      </c>
      <c r="F248">
        <v>199</v>
      </c>
      <c r="G248">
        <v>19.7</v>
      </c>
      <c r="H248">
        <v>0.23100000000000001</v>
      </c>
      <c r="I248">
        <v>198</v>
      </c>
      <c r="J248">
        <v>40.99</v>
      </c>
      <c r="K248" t="b">
        <v>0</v>
      </c>
      <c r="L248">
        <v>2</v>
      </c>
      <c r="M248" t="s">
        <v>39</v>
      </c>
      <c r="N248">
        <v>13</v>
      </c>
      <c r="O248">
        <v>6</v>
      </c>
      <c r="P248">
        <v>321</v>
      </c>
      <c r="Q248" t="b">
        <v>0</v>
      </c>
      <c r="R248">
        <v>10.050251256281401</v>
      </c>
      <c r="S248">
        <v>1613.0653266331601</v>
      </c>
      <c r="T248" t="s">
        <v>27</v>
      </c>
      <c r="U248">
        <v>1</v>
      </c>
      <c r="V248">
        <v>1</v>
      </c>
      <c r="W248">
        <v>1</v>
      </c>
    </row>
    <row r="249" spans="1:23">
      <c r="A249" s="1">
        <v>45666</v>
      </c>
      <c r="B249" t="s">
        <v>104</v>
      </c>
      <c r="C249" t="s">
        <v>46</v>
      </c>
      <c r="D249" t="s">
        <v>30</v>
      </c>
      <c r="E249" t="s">
        <v>47</v>
      </c>
      <c r="F249">
        <v>104</v>
      </c>
      <c r="G249">
        <v>21.04</v>
      </c>
      <c r="H249">
        <v>0.45800000000000002</v>
      </c>
      <c r="I249">
        <v>35</v>
      </c>
      <c r="J249">
        <v>46.5</v>
      </c>
      <c r="K249" t="b">
        <v>0</v>
      </c>
      <c r="L249">
        <v>0</v>
      </c>
      <c r="M249" t="s">
        <v>35</v>
      </c>
      <c r="N249">
        <v>11</v>
      </c>
      <c r="O249">
        <v>13</v>
      </c>
      <c r="P249">
        <v>4</v>
      </c>
      <c r="Q249" t="b">
        <v>0</v>
      </c>
      <c r="R249">
        <v>0</v>
      </c>
      <c r="S249">
        <v>38.461538461538403</v>
      </c>
      <c r="T249" t="s">
        <v>28</v>
      </c>
      <c r="U249">
        <v>1</v>
      </c>
      <c r="V249">
        <v>1</v>
      </c>
      <c r="W249">
        <v>1</v>
      </c>
    </row>
    <row r="250" spans="1:23">
      <c r="A250" s="1">
        <v>45666</v>
      </c>
      <c r="B250" t="s">
        <v>104</v>
      </c>
      <c r="C250" t="s">
        <v>48</v>
      </c>
      <c r="D250" t="s">
        <v>33</v>
      </c>
      <c r="E250" t="s">
        <v>34</v>
      </c>
      <c r="F250">
        <v>250</v>
      </c>
      <c r="G250">
        <v>17.32</v>
      </c>
      <c r="H250">
        <v>0.70299999999999996</v>
      </c>
      <c r="I250">
        <v>121</v>
      </c>
      <c r="J250">
        <v>54.2</v>
      </c>
      <c r="K250" t="b">
        <v>0</v>
      </c>
      <c r="L250">
        <v>1</v>
      </c>
      <c r="M250" t="s">
        <v>27</v>
      </c>
      <c r="N250">
        <v>12</v>
      </c>
      <c r="O250">
        <v>7</v>
      </c>
      <c r="P250">
        <v>152</v>
      </c>
      <c r="Q250" t="b">
        <v>0</v>
      </c>
      <c r="R250">
        <v>4</v>
      </c>
      <c r="S250">
        <v>608</v>
      </c>
      <c r="T250" t="s">
        <v>27</v>
      </c>
      <c r="U250">
        <v>1</v>
      </c>
      <c r="V250">
        <v>1</v>
      </c>
      <c r="W250">
        <v>1</v>
      </c>
    </row>
    <row r="251" spans="1:23">
      <c r="A251" s="1">
        <v>45666</v>
      </c>
      <c r="B251" t="s">
        <v>104</v>
      </c>
      <c r="C251" t="s">
        <v>49</v>
      </c>
      <c r="D251" t="s">
        <v>37</v>
      </c>
      <c r="E251" t="s">
        <v>38</v>
      </c>
      <c r="F251">
        <v>155</v>
      </c>
      <c r="G251">
        <v>38.17</v>
      </c>
      <c r="H251">
        <v>0.32400000000000001</v>
      </c>
      <c r="I251">
        <v>203</v>
      </c>
      <c r="J251">
        <v>81.180000000000007</v>
      </c>
      <c r="K251" t="b">
        <v>0</v>
      </c>
      <c r="L251">
        <v>1</v>
      </c>
      <c r="M251" t="s">
        <v>27</v>
      </c>
      <c r="N251">
        <v>20</v>
      </c>
      <c r="O251">
        <v>12</v>
      </c>
      <c r="P251">
        <v>373</v>
      </c>
      <c r="Q251" t="b">
        <v>0</v>
      </c>
      <c r="R251">
        <v>6.4516129032257998</v>
      </c>
      <c r="S251">
        <v>2406.4516129032199</v>
      </c>
      <c r="T251" t="s">
        <v>28</v>
      </c>
      <c r="U251">
        <v>0</v>
      </c>
      <c r="V251">
        <v>1</v>
      </c>
      <c r="W251">
        <v>1</v>
      </c>
    </row>
    <row r="252" spans="1:23">
      <c r="A252" s="1">
        <v>45666</v>
      </c>
      <c r="B252" t="s">
        <v>104</v>
      </c>
      <c r="C252" t="s">
        <v>50</v>
      </c>
      <c r="D252" t="s">
        <v>41</v>
      </c>
      <c r="E252" t="s">
        <v>47</v>
      </c>
      <c r="F252">
        <v>346</v>
      </c>
      <c r="G252">
        <v>37.31</v>
      </c>
      <c r="H252">
        <v>0.41299999999999998</v>
      </c>
      <c r="I252">
        <v>22</v>
      </c>
      <c r="J252">
        <v>77.81</v>
      </c>
      <c r="K252" t="b">
        <v>0</v>
      </c>
      <c r="L252">
        <v>0</v>
      </c>
      <c r="M252" t="s">
        <v>35</v>
      </c>
      <c r="N252">
        <v>10</v>
      </c>
      <c r="O252">
        <v>8</v>
      </c>
      <c r="P252">
        <v>42</v>
      </c>
      <c r="Q252" t="b">
        <v>0</v>
      </c>
      <c r="R252">
        <v>0</v>
      </c>
      <c r="S252">
        <v>121.38728323699399</v>
      </c>
      <c r="T252" t="s">
        <v>28</v>
      </c>
      <c r="U252">
        <v>0</v>
      </c>
      <c r="V252">
        <v>1</v>
      </c>
      <c r="W252">
        <v>1</v>
      </c>
    </row>
    <row r="253" spans="1:23">
      <c r="A253" s="1">
        <v>45666</v>
      </c>
      <c r="B253" t="s">
        <v>104</v>
      </c>
      <c r="C253" t="s">
        <v>51</v>
      </c>
      <c r="D253" t="s">
        <v>43</v>
      </c>
      <c r="E253" t="s">
        <v>26</v>
      </c>
      <c r="F253">
        <v>166</v>
      </c>
      <c r="G253">
        <v>34.67</v>
      </c>
      <c r="H253">
        <v>0.23599999999999999</v>
      </c>
      <c r="I253">
        <v>122</v>
      </c>
      <c r="J253">
        <v>74.3</v>
      </c>
      <c r="K253" t="b">
        <v>0</v>
      </c>
      <c r="L253">
        <v>1</v>
      </c>
      <c r="M253" t="s">
        <v>28</v>
      </c>
      <c r="N253">
        <v>9</v>
      </c>
      <c r="O253">
        <v>5</v>
      </c>
      <c r="P253">
        <v>253</v>
      </c>
      <c r="Q253" t="b">
        <v>0</v>
      </c>
      <c r="R253">
        <v>6.0240963855421601</v>
      </c>
      <c r="S253">
        <v>1524.0963855421601</v>
      </c>
      <c r="T253" t="s">
        <v>28</v>
      </c>
      <c r="U253">
        <v>0</v>
      </c>
      <c r="V253">
        <v>1</v>
      </c>
      <c r="W253">
        <v>1</v>
      </c>
    </row>
    <row r="254" spans="1:23">
      <c r="A254" s="1">
        <v>45666</v>
      </c>
      <c r="B254" t="s">
        <v>104</v>
      </c>
      <c r="C254" t="s">
        <v>52</v>
      </c>
      <c r="D254" t="s">
        <v>25</v>
      </c>
      <c r="E254" t="s">
        <v>38</v>
      </c>
      <c r="F254">
        <v>295</v>
      </c>
      <c r="G254">
        <v>22.96</v>
      </c>
      <c r="H254">
        <v>0.72099999999999997</v>
      </c>
      <c r="I254">
        <v>114</v>
      </c>
      <c r="J254">
        <v>55.53</v>
      </c>
      <c r="K254" t="b">
        <v>0</v>
      </c>
      <c r="L254">
        <v>1</v>
      </c>
      <c r="M254" t="s">
        <v>27</v>
      </c>
      <c r="N254">
        <v>13</v>
      </c>
      <c r="O254">
        <v>4</v>
      </c>
      <c r="P254">
        <v>167</v>
      </c>
      <c r="Q254" t="b">
        <v>0</v>
      </c>
      <c r="R254">
        <v>3.3898305084745699</v>
      </c>
      <c r="S254">
        <v>566.10169491525403</v>
      </c>
      <c r="T254" t="s">
        <v>28</v>
      </c>
      <c r="U254">
        <v>1</v>
      </c>
      <c r="V254">
        <v>1</v>
      </c>
      <c r="W254">
        <v>1</v>
      </c>
    </row>
    <row r="255" spans="1:23">
      <c r="A255" s="1">
        <v>45666</v>
      </c>
      <c r="B255" t="s">
        <v>104</v>
      </c>
      <c r="C255" t="s">
        <v>53</v>
      </c>
      <c r="D255" t="s">
        <v>30</v>
      </c>
      <c r="E255" t="s">
        <v>47</v>
      </c>
      <c r="F255">
        <v>105</v>
      </c>
      <c r="G255">
        <v>26.82</v>
      </c>
      <c r="H255">
        <v>0.78400000000000003</v>
      </c>
      <c r="I255">
        <v>168</v>
      </c>
      <c r="J255">
        <v>59.92</v>
      </c>
      <c r="K255" t="b">
        <v>0</v>
      </c>
      <c r="L255">
        <v>0</v>
      </c>
      <c r="M255" t="s">
        <v>35</v>
      </c>
      <c r="N255">
        <v>21</v>
      </c>
      <c r="O255">
        <v>8</v>
      </c>
      <c r="P255">
        <v>250</v>
      </c>
      <c r="Q255" t="b">
        <v>0</v>
      </c>
      <c r="R255">
        <v>0</v>
      </c>
      <c r="S255">
        <v>2380.9523809523798</v>
      </c>
      <c r="T255" t="s">
        <v>28</v>
      </c>
      <c r="U255">
        <v>1</v>
      </c>
      <c r="V255">
        <v>1</v>
      </c>
      <c r="W255">
        <v>1</v>
      </c>
    </row>
    <row r="256" spans="1:23">
      <c r="A256" s="1">
        <v>45666</v>
      </c>
      <c r="B256" t="s">
        <v>104</v>
      </c>
      <c r="C256" t="s">
        <v>54</v>
      </c>
      <c r="D256" t="s">
        <v>33</v>
      </c>
      <c r="E256" t="s">
        <v>26</v>
      </c>
      <c r="F256">
        <v>513</v>
      </c>
      <c r="G256">
        <v>4.8099999999999996</v>
      </c>
      <c r="H256">
        <v>0.27900000000000003</v>
      </c>
      <c r="I256">
        <v>29</v>
      </c>
      <c r="J256">
        <v>61.03</v>
      </c>
      <c r="K256" t="b">
        <v>0</v>
      </c>
      <c r="L256">
        <v>1</v>
      </c>
      <c r="M256" t="s">
        <v>28</v>
      </c>
      <c r="N256">
        <v>7</v>
      </c>
      <c r="O256">
        <v>6</v>
      </c>
      <c r="P256">
        <v>126</v>
      </c>
      <c r="Q256" t="b">
        <v>0</v>
      </c>
      <c r="R256">
        <v>1.94931773879142</v>
      </c>
      <c r="S256">
        <v>245.614035087719</v>
      </c>
      <c r="T256" t="s">
        <v>27</v>
      </c>
      <c r="U256">
        <v>0</v>
      </c>
      <c r="V256">
        <v>1</v>
      </c>
      <c r="W256">
        <v>1</v>
      </c>
    </row>
    <row r="257" spans="1:23">
      <c r="A257" s="1">
        <v>45666</v>
      </c>
      <c r="B257" t="s">
        <v>104</v>
      </c>
      <c r="C257" t="s">
        <v>55</v>
      </c>
      <c r="D257" t="s">
        <v>37</v>
      </c>
      <c r="E257" t="s">
        <v>31</v>
      </c>
      <c r="F257">
        <v>128</v>
      </c>
      <c r="G257">
        <v>27.82</v>
      </c>
      <c r="H257">
        <v>0.68500000000000005</v>
      </c>
      <c r="I257">
        <v>37</v>
      </c>
      <c r="J257">
        <v>91.36</v>
      </c>
      <c r="K257" t="b">
        <v>0</v>
      </c>
      <c r="L257">
        <v>0</v>
      </c>
      <c r="M257" t="s">
        <v>35</v>
      </c>
      <c r="N257">
        <v>5</v>
      </c>
      <c r="O257">
        <v>3</v>
      </c>
      <c r="P257">
        <v>30</v>
      </c>
      <c r="Q257" t="b">
        <v>0</v>
      </c>
      <c r="R257">
        <v>0</v>
      </c>
      <c r="S257">
        <v>234.375</v>
      </c>
      <c r="T257" t="s">
        <v>28</v>
      </c>
      <c r="U257">
        <v>0</v>
      </c>
      <c r="V257">
        <v>1</v>
      </c>
      <c r="W257">
        <v>1</v>
      </c>
    </row>
    <row r="258" spans="1:23">
      <c r="A258" s="1">
        <v>45666</v>
      </c>
      <c r="B258" t="s">
        <v>104</v>
      </c>
      <c r="C258" t="s">
        <v>56</v>
      </c>
      <c r="D258" t="s">
        <v>41</v>
      </c>
      <c r="E258" t="s">
        <v>47</v>
      </c>
      <c r="F258">
        <v>146</v>
      </c>
      <c r="G258">
        <v>36.24</v>
      </c>
      <c r="H258">
        <v>0.70199999999999996</v>
      </c>
      <c r="I258">
        <v>117</v>
      </c>
      <c r="J258">
        <v>96.45</v>
      </c>
      <c r="K258" t="b">
        <v>0</v>
      </c>
      <c r="L258">
        <v>0</v>
      </c>
      <c r="M258" t="s">
        <v>35</v>
      </c>
      <c r="N258">
        <v>17</v>
      </c>
      <c r="O258">
        <v>1</v>
      </c>
      <c r="P258">
        <v>170</v>
      </c>
      <c r="Q258" t="b">
        <v>0</v>
      </c>
      <c r="R258">
        <v>0</v>
      </c>
      <c r="S258">
        <v>1164.38356164383</v>
      </c>
      <c r="T258" t="s">
        <v>28</v>
      </c>
      <c r="U258">
        <v>0</v>
      </c>
      <c r="V258">
        <v>1</v>
      </c>
      <c r="W258">
        <v>1</v>
      </c>
    </row>
    <row r="259" spans="1:23">
      <c r="A259" s="1">
        <v>45666</v>
      </c>
      <c r="B259" t="s">
        <v>104</v>
      </c>
      <c r="C259" t="s">
        <v>57</v>
      </c>
      <c r="D259" t="s">
        <v>43</v>
      </c>
      <c r="E259" t="s">
        <v>26</v>
      </c>
      <c r="F259">
        <v>243</v>
      </c>
      <c r="G259">
        <v>12.05</v>
      </c>
      <c r="H259">
        <v>0.159</v>
      </c>
      <c r="I259">
        <v>122</v>
      </c>
      <c r="J259">
        <v>34.590000000000003</v>
      </c>
      <c r="K259" t="b">
        <v>0</v>
      </c>
      <c r="L259">
        <v>0</v>
      </c>
      <c r="M259" t="s">
        <v>35</v>
      </c>
      <c r="N259">
        <v>11</v>
      </c>
      <c r="O259">
        <v>13</v>
      </c>
      <c r="P259">
        <v>179</v>
      </c>
      <c r="Q259" t="b">
        <v>0</v>
      </c>
      <c r="R259">
        <v>0</v>
      </c>
      <c r="S259">
        <v>736.62551440329196</v>
      </c>
      <c r="T259" t="s">
        <v>27</v>
      </c>
      <c r="U259">
        <v>1</v>
      </c>
      <c r="V259">
        <v>1</v>
      </c>
      <c r="W259">
        <v>1</v>
      </c>
    </row>
    <row r="260" spans="1:23">
      <c r="A260" s="1">
        <v>45666</v>
      </c>
      <c r="B260" t="s">
        <v>104</v>
      </c>
      <c r="C260" t="s">
        <v>58</v>
      </c>
      <c r="D260" t="s">
        <v>25</v>
      </c>
      <c r="E260" t="s">
        <v>31</v>
      </c>
      <c r="F260">
        <v>725</v>
      </c>
      <c r="G260">
        <v>34.299999999999997</v>
      </c>
      <c r="H260">
        <v>0.27700000000000002</v>
      </c>
      <c r="I260">
        <v>97</v>
      </c>
      <c r="J260">
        <v>47.68</v>
      </c>
      <c r="K260" t="b">
        <v>0</v>
      </c>
      <c r="L260">
        <v>0</v>
      </c>
      <c r="M260" t="s">
        <v>35</v>
      </c>
      <c r="N260">
        <v>11</v>
      </c>
      <c r="O260">
        <v>8</v>
      </c>
      <c r="P260">
        <v>140</v>
      </c>
      <c r="Q260" t="b">
        <v>0</v>
      </c>
      <c r="R260">
        <v>0</v>
      </c>
      <c r="S260">
        <v>193.10344827586201</v>
      </c>
      <c r="T260" t="s">
        <v>28</v>
      </c>
      <c r="U260">
        <v>1</v>
      </c>
      <c r="V260">
        <v>1</v>
      </c>
      <c r="W260">
        <v>1</v>
      </c>
    </row>
    <row r="261" spans="1:23">
      <c r="A261" s="1">
        <v>45666</v>
      </c>
      <c r="B261" t="s">
        <v>104</v>
      </c>
      <c r="C261" t="s">
        <v>59</v>
      </c>
      <c r="D261" t="s">
        <v>30</v>
      </c>
      <c r="E261" t="s">
        <v>34</v>
      </c>
      <c r="F261">
        <v>193</v>
      </c>
      <c r="G261">
        <v>38.85</v>
      </c>
      <c r="H261">
        <v>0.13500000000000001</v>
      </c>
      <c r="I261">
        <v>12</v>
      </c>
      <c r="J261">
        <v>80.77</v>
      </c>
      <c r="K261" t="b">
        <v>0</v>
      </c>
      <c r="L261">
        <v>0</v>
      </c>
      <c r="M261" t="s">
        <v>35</v>
      </c>
      <c r="N261">
        <v>12</v>
      </c>
      <c r="O261">
        <v>7</v>
      </c>
      <c r="P261">
        <v>19</v>
      </c>
      <c r="Q261" t="b">
        <v>0</v>
      </c>
      <c r="R261">
        <v>0</v>
      </c>
      <c r="S261">
        <v>98.445595854922203</v>
      </c>
      <c r="T261" t="s">
        <v>28</v>
      </c>
      <c r="U261">
        <v>0</v>
      </c>
      <c r="V261">
        <v>1</v>
      </c>
      <c r="W261">
        <v>1</v>
      </c>
    </row>
    <row r="262" spans="1:23">
      <c r="A262" s="1">
        <v>45666</v>
      </c>
      <c r="B262" t="s">
        <v>104</v>
      </c>
      <c r="C262" t="s">
        <v>60</v>
      </c>
      <c r="D262" t="s">
        <v>33</v>
      </c>
      <c r="E262" t="s">
        <v>26</v>
      </c>
      <c r="F262">
        <v>225</v>
      </c>
      <c r="G262">
        <v>29.86</v>
      </c>
      <c r="H262">
        <v>0.65500000000000003</v>
      </c>
      <c r="I262">
        <v>158</v>
      </c>
      <c r="J262">
        <v>68.37</v>
      </c>
      <c r="K262" t="b">
        <v>0</v>
      </c>
      <c r="L262">
        <v>2</v>
      </c>
      <c r="M262" t="s">
        <v>28</v>
      </c>
      <c r="N262">
        <v>8</v>
      </c>
      <c r="O262">
        <v>6</v>
      </c>
      <c r="P262">
        <v>257</v>
      </c>
      <c r="Q262" t="b">
        <v>0</v>
      </c>
      <c r="R262">
        <v>8.8888888888888893</v>
      </c>
      <c r="S262">
        <v>1142.2222222222199</v>
      </c>
      <c r="T262" t="s">
        <v>28</v>
      </c>
      <c r="U262">
        <v>0</v>
      </c>
      <c r="V262">
        <v>1</v>
      </c>
      <c r="W262">
        <v>1</v>
      </c>
    </row>
    <row r="263" spans="1:23">
      <c r="A263" s="1">
        <v>45666</v>
      </c>
      <c r="B263" t="s">
        <v>104</v>
      </c>
      <c r="C263" t="s">
        <v>61</v>
      </c>
      <c r="D263" t="s">
        <v>37</v>
      </c>
      <c r="E263" t="s">
        <v>31</v>
      </c>
      <c r="F263">
        <v>80</v>
      </c>
      <c r="G263">
        <v>38.79</v>
      </c>
      <c r="H263">
        <v>0.60899999999999999</v>
      </c>
      <c r="I263">
        <v>60</v>
      </c>
      <c r="J263">
        <v>42.64</v>
      </c>
      <c r="K263" t="b">
        <v>0</v>
      </c>
      <c r="L263">
        <v>0</v>
      </c>
      <c r="M263" t="s">
        <v>35</v>
      </c>
      <c r="N263">
        <v>8</v>
      </c>
      <c r="O263">
        <v>10</v>
      </c>
      <c r="P263">
        <v>102</v>
      </c>
      <c r="Q263" t="b">
        <v>0</v>
      </c>
      <c r="R263">
        <v>0</v>
      </c>
      <c r="S263">
        <v>1275</v>
      </c>
      <c r="T263" t="s">
        <v>28</v>
      </c>
      <c r="U263">
        <v>1</v>
      </c>
      <c r="V263">
        <v>1</v>
      </c>
      <c r="W263">
        <v>1</v>
      </c>
    </row>
    <row r="264" spans="1:23">
      <c r="A264" s="1">
        <v>45666</v>
      </c>
      <c r="B264" t="s">
        <v>104</v>
      </c>
      <c r="C264" t="s">
        <v>62</v>
      </c>
      <c r="D264" t="s">
        <v>41</v>
      </c>
      <c r="E264" t="s">
        <v>34</v>
      </c>
      <c r="F264">
        <v>331</v>
      </c>
      <c r="G264">
        <v>13.33</v>
      </c>
      <c r="H264">
        <v>0.84499999999999997</v>
      </c>
      <c r="I264">
        <v>124</v>
      </c>
      <c r="J264">
        <v>54.69</v>
      </c>
      <c r="K264" t="b">
        <v>0</v>
      </c>
      <c r="L264">
        <v>1</v>
      </c>
      <c r="M264" t="s">
        <v>28</v>
      </c>
      <c r="N264">
        <v>17</v>
      </c>
      <c r="O264">
        <v>7</v>
      </c>
      <c r="P264">
        <v>167</v>
      </c>
      <c r="Q264" t="b">
        <v>0</v>
      </c>
      <c r="R264">
        <v>3.0211480362537699</v>
      </c>
      <c r="S264">
        <v>504.53172205438</v>
      </c>
      <c r="T264" t="s">
        <v>27</v>
      </c>
      <c r="U264">
        <v>1</v>
      </c>
      <c r="V264">
        <v>1</v>
      </c>
      <c r="W264">
        <v>1</v>
      </c>
    </row>
    <row r="265" spans="1:23">
      <c r="A265" s="1">
        <v>45666</v>
      </c>
      <c r="B265" t="s">
        <v>104</v>
      </c>
      <c r="C265" t="s">
        <v>63</v>
      </c>
      <c r="D265" t="s">
        <v>43</v>
      </c>
      <c r="E265" t="s">
        <v>38</v>
      </c>
      <c r="F265">
        <v>168</v>
      </c>
      <c r="G265">
        <v>37.74</v>
      </c>
      <c r="H265">
        <v>0.06</v>
      </c>
      <c r="I265">
        <v>0</v>
      </c>
      <c r="J265">
        <v>72.39</v>
      </c>
      <c r="K265" t="b">
        <v>0</v>
      </c>
      <c r="L265">
        <v>0</v>
      </c>
      <c r="M265" t="s">
        <v>35</v>
      </c>
      <c r="N265">
        <v>9</v>
      </c>
      <c r="O265">
        <v>12</v>
      </c>
      <c r="P265">
        <v>1</v>
      </c>
      <c r="Q265" t="b">
        <v>0</v>
      </c>
      <c r="R265">
        <v>0</v>
      </c>
      <c r="S265">
        <v>5.9523809523809499</v>
      </c>
      <c r="T265" t="s">
        <v>28</v>
      </c>
      <c r="U265">
        <v>0</v>
      </c>
      <c r="V265">
        <v>1</v>
      </c>
      <c r="W265">
        <v>1</v>
      </c>
    </row>
    <row r="266" spans="1:23">
      <c r="A266" s="1">
        <v>45666</v>
      </c>
      <c r="B266" t="s">
        <v>104</v>
      </c>
      <c r="C266" t="s">
        <v>64</v>
      </c>
      <c r="D266" t="s">
        <v>25</v>
      </c>
      <c r="E266" t="s">
        <v>31</v>
      </c>
      <c r="F266">
        <v>292</v>
      </c>
      <c r="G266">
        <v>19.34</v>
      </c>
      <c r="H266">
        <v>0.24199999999999999</v>
      </c>
      <c r="I266">
        <v>66</v>
      </c>
      <c r="J266">
        <v>72.599999999999994</v>
      </c>
      <c r="K266" t="b">
        <v>0</v>
      </c>
      <c r="L266">
        <v>1</v>
      </c>
      <c r="M266" t="s">
        <v>27</v>
      </c>
      <c r="N266">
        <v>6</v>
      </c>
      <c r="O266">
        <v>1</v>
      </c>
      <c r="P266">
        <v>136</v>
      </c>
      <c r="Q266" t="b">
        <v>0</v>
      </c>
      <c r="R266">
        <v>3.4246575342465699</v>
      </c>
      <c r="S266">
        <v>465.75342465753403</v>
      </c>
      <c r="T266" t="s">
        <v>27</v>
      </c>
      <c r="U266">
        <v>0</v>
      </c>
      <c r="V266">
        <v>1</v>
      </c>
      <c r="W266">
        <v>1</v>
      </c>
    </row>
    <row r="267" spans="1:23">
      <c r="A267" s="1">
        <v>45666</v>
      </c>
      <c r="B267" t="s">
        <v>104</v>
      </c>
      <c r="C267" t="s">
        <v>65</v>
      </c>
      <c r="D267" t="s">
        <v>30</v>
      </c>
      <c r="E267" t="s">
        <v>34</v>
      </c>
      <c r="F267">
        <v>521</v>
      </c>
      <c r="G267">
        <v>32.58</v>
      </c>
      <c r="H267">
        <v>0.61</v>
      </c>
      <c r="I267">
        <v>24</v>
      </c>
      <c r="J267">
        <v>82.17</v>
      </c>
      <c r="K267" t="b">
        <v>0</v>
      </c>
      <c r="L267">
        <v>0</v>
      </c>
      <c r="M267" t="s">
        <v>35</v>
      </c>
      <c r="N267">
        <v>5</v>
      </c>
      <c r="O267">
        <v>5</v>
      </c>
      <c r="P267">
        <v>1</v>
      </c>
      <c r="Q267" t="b">
        <v>0</v>
      </c>
      <c r="R267">
        <v>0</v>
      </c>
      <c r="S267">
        <v>1.9193857965451</v>
      </c>
      <c r="T267" t="s">
        <v>28</v>
      </c>
      <c r="U267">
        <v>0</v>
      </c>
      <c r="V267">
        <v>1</v>
      </c>
      <c r="W267">
        <v>1</v>
      </c>
    </row>
    <row r="268" spans="1:23">
      <c r="A268" s="1">
        <v>45666</v>
      </c>
      <c r="B268" t="s">
        <v>104</v>
      </c>
      <c r="C268" t="s">
        <v>66</v>
      </c>
      <c r="D268" t="s">
        <v>33</v>
      </c>
      <c r="E268" t="s">
        <v>38</v>
      </c>
      <c r="F268">
        <v>80</v>
      </c>
      <c r="G268">
        <v>53.69</v>
      </c>
      <c r="H268">
        <v>0.308</v>
      </c>
      <c r="I268">
        <v>135</v>
      </c>
      <c r="J268">
        <v>84.1</v>
      </c>
      <c r="K268" t="b">
        <v>0</v>
      </c>
      <c r="L268">
        <v>1</v>
      </c>
      <c r="M268" t="s">
        <v>39</v>
      </c>
      <c r="N268">
        <v>12</v>
      </c>
      <c r="O268">
        <v>2</v>
      </c>
      <c r="P268">
        <v>130</v>
      </c>
      <c r="Q268" t="b">
        <v>0</v>
      </c>
      <c r="R268">
        <v>12.5</v>
      </c>
      <c r="S268">
        <v>1625</v>
      </c>
      <c r="T268" t="s">
        <v>39</v>
      </c>
      <c r="U268">
        <v>0</v>
      </c>
      <c r="V268">
        <v>1</v>
      </c>
      <c r="W268">
        <v>1</v>
      </c>
    </row>
    <row r="269" spans="1:23">
      <c r="A269" s="1">
        <v>45666</v>
      </c>
      <c r="B269" t="s">
        <v>104</v>
      </c>
      <c r="C269" t="s">
        <v>67</v>
      </c>
      <c r="D269" t="s">
        <v>37</v>
      </c>
      <c r="E269" t="s">
        <v>47</v>
      </c>
      <c r="F269">
        <v>166</v>
      </c>
      <c r="G269">
        <v>14.83</v>
      </c>
      <c r="H269">
        <v>0.77</v>
      </c>
      <c r="I269">
        <v>92</v>
      </c>
      <c r="J269">
        <v>85.64</v>
      </c>
      <c r="K269" t="b">
        <v>0</v>
      </c>
      <c r="L269">
        <v>0</v>
      </c>
      <c r="M269" t="s">
        <v>35</v>
      </c>
      <c r="N269">
        <v>10</v>
      </c>
      <c r="O269">
        <v>6</v>
      </c>
      <c r="P269">
        <v>187</v>
      </c>
      <c r="Q269" t="b">
        <v>0</v>
      </c>
      <c r="R269">
        <v>0</v>
      </c>
      <c r="S269">
        <v>1126.5060240963801</v>
      </c>
      <c r="T269" t="s">
        <v>27</v>
      </c>
      <c r="U269">
        <v>0</v>
      </c>
      <c r="V269">
        <v>1</v>
      </c>
      <c r="W269">
        <v>1</v>
      </c>
    </row>
    <row r="270" spans="1:23">
      <c r="A270" s="1">
        <v>45666</v>
      </c>
      <c r="B270" t="s">
        <v>104</v>
      </c>
      <c r="C270" t="s">
        <v>68</v>
      </c>
      <c r="D270" t="s">
        <v>41</v>
      </c>
      <c r="E270" t="s">
        <v>34</v>
      </c>
      <c r="F270">
        <v>391</v>
      </c>
      <c r="G270">
        <v>31.28</v>
      </c>
      <c r="H270">
        <v>0.442</v>
      </c>
      <c r="I270">
        <v>61</v>
      </c>
      <c r="J270">
        <v>87.57</v>
      </c>
      <c r="K270" t="b">
        <v>0</v>
      </c>
      <c r="L270">
        <v>0</v>
      </c>
      <c r="M270" t="s">
        <v>35</v>
      </c>
      <c r="N270">
        <v>10</v>
      </c>
      <c r="O270">
        <v>12</v>
      </c>
      <c r="P270">
        <v>98</v>
      </c>
      <c r="Q270" t="b">
        <v>0</v>
      </c>
      <c r="R270">
        <v>0</v>
      </c>
      <c r="S270">
        <v>250.639386189258</v>
      </c>
      <c r="T270" t="s">
        <v>28</v>
      </c>
      <c r="U270">
        <v>0</v>
      </c>
      <c r="V270">
        <v>1</v>
      </c>
      <c r="W270">
        <v>1</v>
      </c>
    </row>
    <row r="271" spans="1:23">
      <c r="A271" s="1">
        <v>45666</v>
      </c>
      <c r="B271" t="s">
        <v>104</v>
      </c>
      <c r="C271" t="s">
        <v>69</v>
      </c>
      <c r="D271" t="s">
        <v>43</v>
      </c>
      <c r="E271" t="s">
        <v>38</v>
      </c>
      <c r="F271">
        <v>432</v>
      </c>
      <c r="G271">
        <v>33.21</v>
      </c>
      <c r="H271">
        <v>0.60399999999999998</v>
      </c>
      <c r="I271">
        <v>140</v>
      </c>
      <c r="J271">
        <v>73.33</v>
      </c>
      <c r="K271" t="b">
        <v>0</v>
      </c>
      <c r="L271">
        <v>0</v>
      </c>
      <c r="M271" t="s">
        <v>35</v>
      </c>
      <c r="N271">
        <v>12</v>
      </c>
      <c r="O271">
        <v>2</v>
      </c>
      <c r="P271">
        <v>150</v>
      </c>
      <c r="Q271" t="b">
        <v>0</v>
      </c>
      <c r="R271">
        <v>0</v>
      </c>
      <c r="S271">
        <v>347.222222222222</v>
      </c>
      <c r="T271" t="s">
        <v>28</v>
      </c>
      <c r="U271">
        <v>0</v>
      </c>
      <c r="V271">
        <v>1</v>
      </c>
      <c r="W271">
        <v>1</v>
      </c>
    </row>
    <row r="272" spans="1:23">
      <c r="A272" s="1">
        <v>45666</v>
      </c>
      <c r="B272" t="s">
        <v>104</v>
      </c>
      <c r="C272" t="s">
        <v>70</v>
      </c>
      <c r="D272" t="s">
        <v>25</v>
      </c>
      <c r="E272" t="s">
        <v>47</v>
      </c>
      <c r="F272">
        <v>246</v>
      </c>
      <c r="G272">
        <v>40.340000000000003</v>
      </c>
      <c r="H272">
        <v>0.79400000000000004</v>
      </c>
      <c r="I272">
        <v>90</v>
      </c>
      <c r="J272">
        <v>88.76</v>
      </c>
      <c r="K272" t="b">
        <v>0</v>
      </c>
      <c r="L272">
        <v>1</v>
      </c>
      <c r="M272" t="s">
        <v>28</v>
      </c>
      <c r="N272">
        <v>12</v>
      </c>
      <c r="O272">
        <v>15</v>
      </c>
      <c r="P272">
        <v>115</v>
      </c>
      <c r="Q272" t="b">
        <v>0</v>
      </c>
      <c r="R272">
        <v>4.0650406504065</v>
      </c>
      <c r="S272">
        <v>467.47967479674799</v>
      </c>
      <c r="T272" t="s">
        <v>39</v>
      </c>
      <c r="U272">
        <v>0</v>
      </c>
      <c r="V272">
        <v>1</v>
      </c>
      <c r="W272">
        <v>1</v>
      </c>
    </row>
    <row r="273" spans="1:23">
      <c r="A273" s="1">
        <v>45666</v>
      </c>
      <c r="B273" t="s">
        <v>104</v>
      </c>
      <c r="C273" t="s">
        <v>71</v>
      </c>
      <c r="D273" t="s">
        <v>30</v>
      </c>
      <c r="E273" t="s">
        <v>26</v>
      </c>
      <c r="F273">
        <v>116</v>
      </c>
      <c r="G273">
        <v>40</v>
      </c>
      <c r="H273">
        <v>0.83299999999999996</v>
      </c>
      <c r="I273">
        <v>34</v>
      </c>
      <c r="J273">
        <v>63.61</v>
      </c>
      <c r="K273" t="b">
        <v>0</v>
      </c>
      <c r="L273">
        <v>0</v>
      </c>
      <c r="M273" t="s">
        <v>35</v>
      </c>
      <c r="N273">
        <v>12</v>
      </c>
      <c r="O273">
        <v>10</v>
      </c>
      <c r="P273">
        <v>44</v>
      </c>
      <c r="Q273" t="b">
        <v>0</v>
      </c>
      <c r="R273">
        <v>0</v>
      </c>
      <c r="S273">
        <v>379.31034482758599</v>
      </c>
      <c r="T273" t="s">
        <v>28</v>
      </c>
      <c r="U273">
        <v>0</v>
      </c>
      <c r="V273">
        <v>1</v>
      </c>
      <c r="W273">
        <v>1</v>
      </c>
    </row>
    <row r="274" spans="1:23">
      <c r="A274" s="1">
        <v>45666</v>
      </c>
      <c r="B274" t="s">
        <v>104</v>
      </c>
      <c r="C274" t="s">
        <v>72</v>
      </c>
      <c r="D274" t="s">
        <v>33</v>
      </c>
      <c r="E274" t="s">
        <v>38</v>
      </c>
      <c r="F274">
        <v>128</v>
      </c>
      <c r="G274">
        <v>38</v>
      </c>
      <c r="H274">
        <v>0.34899999999999998</v>
      </c>
      <c r="I274">
        <v>105</v>
      </c>
      <c r="J274">
        <v>100</v>
      </c>
      <c r="K274" t="b">
        <v>0</v>
      </c>
      <c r="L274">
        <v>1</v>
      </c>
      <c r="M274" t="s">
        <v>28</v>
      </c>
      <c r="N274">
        <v>6</v>
      </c>
      <c r="O274">
        <v>1</v>
      </c>
      <c r="P274">
        <v>120</v>
      </c>
      <c r="Q274" t="b">
        <v>0</v>
      </c>
      <c r="R274">
        <v>7.8125</v>
      </c>
      <c r="S274">
        <v>937.5</v>
      </c>
      <c r="T274" t="s">
        <v>28</v>
      </c>
      <c r="U274">
        <v>0</v>
      </c>
      <c r="V274">
        <v>1</v>
      </c>
      <c r="W274">
        <v>1</v>
      </c>
    </row>
    <row r="275" spans="1:23">
      <c r="A275" s="1">
        <v>45666</v>
      </c>
      <c r="B275" t="s">
        <v>104</v>
      </c>
      <c r="C275" t="s">
        <v>73</v>
      </c>
      <c r="D275" t="s">
        <v>37</v>
      </c>
      <c r="E275" t="s">
        <v>47</v>
      </c>
      <c r="F275">
        <v>132</v>
      </c>
      <c r="G275">
        <v>13.16</v>
      </c>
      <c r="H275">
        <v>0.66</v>
      </c>
      <c r="I275">
        <v>121</v>
      </c>
      <c r="J275">
        <v>59.55</v>
      </c>
      <c r="K275" t="b">
        <v>0</v>
      </c>
      <c r="L275">
        <v>0</v>
      </c>
      <c r="M275" t="s">
        <v>35</v>
      </c>
      <c r="N275">
        <v>12</v>
      </c>
      <c r="O275">
        <v>4</v>
      </c>
      <c r="P275">
        <v>137</v>
      </c>
      <c r="Q275" t="b">
        <v>0</v>
      </c>
      <c r="R275">
        <v>0</v>
      </c>
      <c r="S275">
        <v>1037.87878787878</v>
      </c>
      <c r="T275" t="s">
        <v>27</v>
      </c>
      <c r="U275">
        <v>1</v>
      </c>
      <c r="V275">
        <v>1</v>
      </c>
      <c r="W275">
        <v>1</v>
      </c>
    </row>
    <row r="276" spans="1:23">
      <c r="A276" s="1">
        <v>45666</v>
      </c>
      <c r="B276" t="s">
        <v>104</v>
      </c>
      <c r="C276" t="s">
        <v>74</v>
      </c>
      <c r="D276" t="s">
        <v>41</v>
      </c>
      <c r="E276" t="s">
        <v>26</v>
      </c>
      <c r="F276">
        <v>225</v>
      </c>
      <c r="G276">
        <v>26.24</v>
      </c>
      <c r="H276">
        <v>0.754</v>
      </c>
      <c r="I276">
        <v>93</v>
      </c>
      <c r="J276">
        <v>89.95</v>
      </c>
      <c r="K276" t="b">
        <v>0</v>
      </c>
      <c r="L276">
        <v>0</v>
      </c>
      <c r="M276" t="s">
        <v>35</v>
      </c>
      <c r="N276">
        <v>9</v>
      </c>
      <c r="O276">
        <v>3</v>
      </c>
      <c r="P276">
        <v>165</v>
      </c>
      <c r="Q276" t="b">
        <v>0</v>
      </c>
      <c r="R276">
        <v>0</v>
      </c>
      <c r="S276">
        <v>733.33333333333303</v>
      </c>
      <c r="T276" t="s">
        <v>28</v>
      </c>
      <c r="U276">
        <v>0</v>
      </c>
      <c r="V276">
        <v>1</v>
      </c>
      <c r="W276">
        <v>1</v>
      </c>
    </row>
    <row r="277" spans="1:23">
      <c r="A277" s="1">
        <v>45666</v>
      </c>
      <c r="B277" t="s">
        <v>104</v>
      </c>
      <c r="C277" t="s">
        <v>75</v>
      </c>
      <c r="D277" t="s">
        <v>43</v>
      </c>
      <c r="E277" t="s">
        <v>31</v>
      </c>
      <c r="F277">
        <v>262</v>
      </c>
      <c r="G277">
        <v>43.25</v>
      </c>
      <c r="H277">
        <v>0.61299999999999999</v>
      </c>
      <c r="I277">
        <v>136</v>
      </c>
      <c r="J277">
        <v>60.63</v>
      </c>
      <c r="K277" t="b">
        <v>0</v>
      </c>
      <c r="L277">
        <v>4</v>
      </c>
      <c r="M277" t="s">
        <v>27</v>
      </c>
      <c r="N277">
        <v>16</v>
      </c>
      <c r="O277">
        <v>4</v>
      </c>
      <c r="P277">
        <v>205</v>
      </c>
      <c r="Q277" t="b">
        <v>0</v>
      </c>
      <c r="R277">
        <v>15.267175572518999</v>
      </c>
      <c r="S277">
        <v>782.44274809160299</v>
      </c>
      <c r="T277" t="s">
        <v>39</v>
      </c>
      <c r="U277">
        <v>0</v>
      </c>
      <c r="V277">
        <v>1</v>
      </c>
      <c r="W277">
        <v>1</v>
      </c>
    </row>
    <row r="278" spans="1:23">
      <c r="A278" s="1">
        <v>45666</v>
      </c>
      <c r="B278" t="s">
        <v>104</v>
      </c>
      <c r="C278" t="s">
        <v>76</v>
      </c>
      <c r="D278" t="s">
        <v>25</v>
      </c>
      <c r="E278" t="s">
        <v>47</v>
      </c>
      <c r="F278">
        <v>220</v>
      </c>
      <c r="G278">
        <v>23.72</v>
      </c>
      <c r="H278">
        <v>0.111</v>
      </c>
      <c r="I278">
        <v>22</v>
      </c>
      <c r="J278">
        <v>49.45</v>
      </c>
      <c r="K278" t="b">
        <v>0</v>
      </c>
      <c r="L278">
        <v>0</v>
      </c>
      <c r="M278" t="s">
        <v>35</v>
      </c>
      <c r="N278">
        <v>6</v>
      </c>
      <c r="O278">
        <v>1</v>
      </c>
      <c r="P278">
        <v>3</v>
      </c>
      <c r="Q278" t="b">
        <v>0</v>
      </c>
      <c r="R278">
        <v>0</v>
      </c>
      <c r="S278">
        <v>13.636363636363599</v>
      </c>
      <c r="T278" t="s">
        <v>28</v>
      </c>
      <c r="U278">
        <v>1</v>
      </c>
      <c r="V278">
        <v>1</v>
      </c>
      <c r="W278">
        <v>1</v>
      </c>
    </row>
    <row r="279" spans="1:23">
      <c r="A279" s="1">
        <v>45666</v>
      </c>
      <c r="B279" t="s">
        <v>104</v>
      </c>
      <c r="C279" t="s">
        <v>77</v>
      </c>
      <c r="D279" t="s">
        <v>30</v>
      </c>
      <c r="E279" t="s">
        <v>26</v>
      </c>
      <c r="F279">
        <v>217</v>
      </c>
      <c r="G279">
        <v>27.97</v>
      </c>
      <c r="H279">
        <v>0.24</v>
      </c>
      <c r="I279">
        <v>63</v>
      </c>
      <c r="J279">
        <v>37.08</v>
      </c>
      <c r="K279" t="b">
        <v>0</v>
      </c>
      <c r="L279">
        <v>3</v>
      </c>
      <c r="M279" t="s">
        <v>28</v>
      </c>
      <c r="N279">
        <v>10</v>
      </c>
      <c r="O279">
        <v>6</v>
      </c>
      <c r="P279">
        <v>49</v>
      </c>
      <c r="Q279" t="b">
        <v>0</v>
      </c>
      <c r="R279">
        <v>13.824884792626699</v>
      </c>
      <c r="S279">
        <v>225.806451612903</v>
      </c>
      <c r="T279" t="s">
        <v>28</v>
      </c>
      <c r="U279">
        <v>1</v>
      </c>
      <c r="V279">
        <v>1</v>
      </c>
      <c r="W279">
        <v>1</v>
      </c>
    </row>
    <row r="280" spans="1:23">
      <c r="A280" s="1">
        <v>45666</v>
      </c>
      <c r="B280" t="s">
        <v>104</v>
      </c>
      <c r="C280" t="s">
        <v>78</v>
      </c>
      <c r="D280" t="s">
        <v>33</v>
      </c>
      <c r="E280" t="s">
        <v>31</v>
      </c>
      <c r="F280">
        <v>243</v>
      </c>
      <c r="G280">
        <v>35.24</v>
      </c>
      <c r="H280">
        <v>0.52100000000000002</v>
      </c>
      <c r="I280">
        <v>124</v>
      </c>
      <c r="J280">
        <v>87.03</v>
      </c>
      <c r="K280" t="b">
        <v>0</v>
      </c>
      <c r="L280">
        <v>1</v>
      </c>
      <c r="M280" t="s">
        <v>27</v>
      </c>
      <c r="N280">
        <v>14</v>
      </c>
      <c r="O280">
        <v>12</v>
      </c>
      <c r="P280">
        <v>193</v>
      </c>
      <c r="Q280" t="b">
        <v>0</v>
      </c>
      <c r="R280">
        <v>4.1152263374485596</v>
      </c>
      <c r="S280">
        <v>794.23868312757202</v>
      </c>
      <c r="T280" t="s">
        <v>28</v>
      </c>
      <c r="U280">
        <v>0</v>
      </c>
      <c r="V280">
        <v>1</v>
      </c>
      <c r="W280">
        <v>1</v>
      </c>
    </row>
    <row r="281" spans="1:23">
      <c r="A281" s="1">
        <v>45666</v>
      </c>
      <c r="B281" t="s">
        <v>104</v>
      </c>
      <c r="C281" t="s">
        <v>79</v>
      </c>
      <c r="D281" t="s">
        <v>37</v>
      </c>
      <c r="E281" t="s">
        <v>34</v>
      </c>
      <c r="F281">
        <v>129</v>
      </c>
      <c r="G281">
        <v>29.69</v>
      </c>
      <c r="H281">
        <v>0.35499999999999998</v>
      </c>
      <c r="I281">
        <v>0</v>
      </c>
      <c r="J281">
        <v>71.42</v>
      </c>
      <c r="K281" t="b">
        <v>0</v>
      </c>
      <c r="L281">
        <v>0</v>
      </c>
      <c r="M281" t="s">
        <v>35</v>
      </c>
      <c r="N281">
        <v>8</v>
      </c>
      <c r="O281">
        <v>1</v>
      </c>
      <c r="P281">
        <v>15</v>
      </c>
      <c r="Q281" t="b">
        <v>0</v>
      </c>
      <c r="R281">
        <v>0</v>
      </c>
      <c r="S281">
        <v>116.279069767441</v>
      </c>
      <c r="T281" t="s">
        <v>28</v>
      </c>
      <c r="U281">
        <v>0</v>
      </c>
      <c r="V281">
        <v>1</v>
      </c>
      <c r="W281">
        <v>1</v>
      </c>
    </row>
    <row r="282" spans="1:23">
      <c r="A282" s="1">
        <v>45666</v>
      </c>
      <c r="B282" t="s">
        <v>104</v>
      </c>
      <c r="C282" t="s">
        <v>80</v>
      </c>
      <c r="D282" t="s">
        <v>41</v>
      </c>
      <c r="E282" t="s">
        <v>26</v>
      </c>
      <c r="F282">
        <v>203</v>
      </c>
      <c r="G282">
        <v>23.65</v>
      </c>
      <c r="H282">
        <v>0.73699999999999999</v>
      </c>
      <c r="I282">
        <v>117</v>
      </c>
      <c r="J282">
        <v>98.02</v>
      </c>
      <c r="K282" t="b">
        <v>0</v>
      </c>
      <c r="L282">
        <v>0</v>
      </c>
      <c r="M282" t="s">
        <v>35</v>
      </c>
      <c r="N282">
        <v>15</v>
      </c>
      <c r="O282">
        <v>6</v>
      </c>
      <c r="P282">
        <v>231</v>
      </c>
      <c r="Q282" t="b">
        <v>0</v>
      </c>
      <c r="R282">
        <v>0</v>
      </c>
      <c r="S282">
        <v>1137.93103448275</v>
      </c>
      <c r="T282" t="s">
        <v>28</v>
      </c>
      <c r="U282">
        <v>0</v>
      </c>
      <c r="V282">
        <v>1</v>
      </c>
      <c r="W282">
        <v>1</v>
      </c>
    </row>
    <row r="283" spans="1:23">
      <c r="A283" s="1">
        <v>45666</v>
      </c>
      <c r="B283" t="s">
        <v>104</v>
      </c>
      <c r="C283" t="s">
        <v>81</v>
      </c>
      <c r="D283" t="s">
        <v>43</v>
      </c>
      <c r="E283" t="s">
        <v>31</v>
      </c>
      <c r="F283">
        <v>80</v>
      </c>
      <c r="G283">
        <v>37.020000000000003</v>
      </c>
      <c r="H283">
        <v>0.82099999999999995</v>
      </c>
      <c r="I283">
        <v>27</v>
      </c>
      <c r="J283">
        <v>67.89</v>
      </c>
      <c r="K283" t="b">
        <v>0</v>
      </c>
      <c r="L283">
        <v>0</v>
      </c>
      <c r="M283" t="s">
        <v>35</v>
      </c>
      <c r="N283">
        <v>9</v>
      </c>
      <c r="O283">
        <v>6</v>
      </c>
      <c r="P283">
        <v>84</v>
      </c>
      <c r="Q283" t="b">
        <v>0</v>
      </c>
      <c r="R283">
        <v>0</v>
      </c>
      <c r="S283">
        <v>1050</v>
      </c>
      <c r="T283" t="s">
        <v>28</v>
      </c>
      <c r="U283">
        <v>0</v>
      </c>
      <c r="V283">
        <v>1</v>
      </c>
      <c r="W283">
        <v>1</v>
      </c>
    </row>
    <row r="284" spans="1:23">
      <c r="A284" s="1">
        <v>45666</v>
      </c>
      <c r="B284" t="s">
        <v>104</v>
      </c>
      <c r="C284" t="s">
        <v>82</v>
      </c>
      <c r="D284" t="s">
        <v>25</v>
      </c>
      <c r="E284" t="s">
        <v>34</v>
      </c>
      <c r="F284">
        <v>125</v>
      </c>
      <c r="G284">
        <v>33.42</v>
      </c>
      <c r="H284">
        <v>0.14599999999999999</v>
      </c>
      <c r="I284">
        <v>195</v>
      </c>
      <c r="J284">
        <v>100</v>
      </c>
      <c r="K284" t="b">
        <v>0</v>
      </c>
      <c r="L284">
        <v>0</v>
      </c>
      <c r="M284" t="s">
        <v>35</v>
      </c>
      <c r="N284">
        <v>15</v>
      </c>
      <c r="O284">
        <v>5</v>
      </c>
      <c r="P284">
        <v>273</v>
      </c>
      <c r="Q284" t="b">
        <v>0</v>
      </c>
      <c r="R284">
        <v>0</v>
      </c>
      <c r="S284">
        <v>2184</v>
      </c>
      <c r="T284" t="s">
        <v>28</v>
      </c>
      <c r="U284">
        <v>0</v>
      </c>
      <c r="V284">
        <v>1</v>
      </c>
      <c r="W284">
        <v>1</v>
      </c>
    </row>
    <row r="285" spans="1:23">
      <c r="A285" s="1">
        <v>45666</v>
      </c>
      <c r="B285" t="s">
        <v>104</v>
      </c>
      <c r="C285" t="s">
        <v>83</v>
      </c>
      <c r="D285" t="s">
        <v>30</v>
      </c>
      <c r="E285" t="s">
        <v>38</v>
      </c>
      <c r="F285">
        <v>304</v>
      </c>
      <c r="G285">
        <v>48.77</v>
      </c>
      <c r="H285">
        <v>0.55500000000000005</v>
      </c>
      <c r="I285">
        <v>104</v>
      </c>
      <c r="J285">
        <v>96.85</v>
      </c>
      <c r="K285" t="b">
        <v>0</v>
      </c>
      <c r="L285">
        <v>3</v>
      </c>
      <c r="M285" t="s">
        <v>27</v>
      </c>
      <c r="N285">
        <v>17</v>
      </c>
      <c r="O285">
        <v>4</v>
      </c>
      <c r="P285">
        <v>147</v>
      </c>
      <c r="Q285" t="b">
        <v>0</v>
      </c>
      <c r="R285">
        <v>9.8684210526315699</v>
      </c>
      <c r="S285">
        <v>483.552631578947</v>
      </c>
      <c r="T285" t="s">
        <v>39</v>
      </c>
      <c r="U285">
        <v>0</v>
      </c>
      <c r="V285">
        <v>1</v>
      </c>
      <c r="W285">
        <v>1</v>
      </c>
    </row>
    <row r="286" spans="1:23">
      <c r="A286" s="1">
        <v>45666</v>
      </c>
      <c r="B286" t="s">
        <v>104</v>
      </c>
      <c r="C286" t="s">
        <v>84</v>
      </c>
      <c r="D286" t="s">
        <v>33</v>
      </c>
      <c r="E286" t="s">
        <v>31</v>
      </c>
      <c r="F286">
        <v>261</v>
      </c>
      <c r="G286">
        <v>29.18</v>
      </c>
      <c r="H286">
        <v>0.39400000000000002</v>
      </c>
      <c r="I286">
        <v>44</v>
      </c>
      <c r="J286">
        <v>86.42</v>
      </c>
      <c r="K286" t="b">
        <v>0</v>
      </c>
      <c r="L286">
        <v>0</v>
      </c>
      <c r="M286" t="s">
        <v>35</v>
      </c>
      <c r="N286">
        <v>12</v>
      </c>
      <c r="O286">
        <v>1</v>
      </c>
      <c r="P286">
        <v>85</v>
      </c>
      <c r="Q286" t="b">
        <v>0</v>
      </c>
      <c r="R286">
        <v>0</v>
      </c>
      <c r="S286">
        <v>325.67049808429101</v>
      </c>
      <c r="T286" t="s">
        <v>28</v>
      </c>
      <c r="U286">
        <v>0</v>
      </c>
      <c r="V286">
        <v>1</v>
      </c>
      <c r="W286">
        <v>1</v>
      </c>
    </row>
    <row r="287" spans="1:23">
      <c r="A287" s="1">
        <v>45666</v>
      </c>
      <c r="B287" t="s">
        <v>104</v>
      </c>
      <c r="C287" t="s">
        <v>86</v>
      </c>
      <c r="D287" t="s">
        <v>37</v>
      </c>
      <c r="E287" t="s">
        <v>34</v>
      </c>
      <c r="F287">
        <v>405</v>
      </c>
      <c r="G287">
        <v>5</v>
      </c>
      <c r="H287">
        <v>0.67400000000000004</v>
      </c>
      <c r="I287">
        <v>176</v>
      </c>
      <c r="J287">
        <v>60.47</v>
      </c>
      <c r="K287" t="b">
        <v>0</v>
      </c>
      <c r="L287">
        <v>2</v>
      </c>
      <c r="M287" t="s">
        <v>27</v>
      </c>
      <c r="N287">
        <v>15</v>
      </c>
      <c r="O287">
        <v>5</v>
      </c>
      <c r="P287">
        <v>221</v>
      </c>
      <c r="Q287" t="b">
        <v>0</v>
      </c>
      <c r="R287">
        <v>4.9382716049382704</v>
      </c>
      <c r="S287">
        <v>545.67901234567898</v>
      </c>
      <c r="T287" t="s">
        <v>27</v>
      </c>
      <c r="U287">
        <v>0</v>
      </c>
      <c r="V287">
        <v>1</v>
      </c>
      <c r="W287">
        <v>1</v>
      </c>
    </row>
    <row r="288" spans="1:23">
      <c r="A288" s="1">
        <v>45666</v>
      </c>
      <c r="B288" t="s">
        <v>104</v>
      </c>
      <c r="C288" t="s">
        <v>87</v>
      </c>
      <c r="D288" t="s">
        <v>41</v>
      </c>
      <c r="E288" t="s">
        <v>38</v>
      </c>
      <c r="F288">
        <v>83</v>
      </c>
      <c r="G288">
        <v>42.62</v>
      </c>
      <c r="H288">
        <v>0.27800000000000002</v>
      </c>
      <c r="I288">
        <v>130</v>
      </c>
      <c r="J288">
        <v>69.64</v>
      </c>
      <c r="K288" t="b">
        <v>0</v>
      </c>
      <c r="L288">
        <v>2</v>
      </c>
      <c r="M288" t="s">
        <v>39</v>
      </c>
      <c r="N288">
        <v>17</v>
      </c>
      <c r="O288">
        <v>1</v>
      </c>
      <c r="P288">
        <v>180</v>
      </c>
      <c r="Q288" t="b">
        <v>0</v>
      </c>
      <c r="R288">
        <v>24.096385542168601</v>
      </c>
      <c r="S288">
        <v>2168.6746987951801</v>
      </c>
      <c r="T288" t="s">
        <v>39</v>
      </c>
      <c r="U288">
        <v>0</v>
      </c>
      <c r="V288">
        <v>1</v>
      </c>
      <c r="W288">
        <v>1</v>
      </c>
    </row>
    <row r="289" spans="1:23">
      <c r="A289" s="1">
        <v>45666</v>
      </c>
      <c r="B289" t="s">
        <v>104</v>
      </c>
      <c r="C289" t="s">
        <v>88</v>
      </c>
      <c r="D289" t="s">
        <v>43</v>
      </c>
      <c r="E289" t="s">
        <v>47</v>
      </c>
      <c r="F289">
        <v>306</v>
      </c>
      <c r="G289">
        <v>45.17</v>
      </c>
      <c r="H289">
        <v>0.55600000000000005</v>
      </c>
      <c r="I289">
        <v>95</v>
      </c>
      <c r="J289">
        <v>61.29</v>
      </c>
      <c r="K289" t="b">
        <v>0</v>
      </c>
      <c r="L289">
        <v>0</v>
      </c>
      <c r="M289" t="s">
        <v>35</v>
      </c>
      <c r="N289">
        <v>9</v>
      </c>
      <c r="O289">
        <v>4</v>
      </c>
      <c r="P289">
        <v>105</v>
      </c>
      <c r="Q289" t="b">
        <v>0</v>
      </c>
      <c r="R289">
        <v>0</v>
      </c>
      <c r="S289">
        <v>343.13725490195998</v>
      </c>
      <c r="T289" t="s">
        <v>39</v>
      </c>
      <c r="U289">
        <v>0</v>
      </c>
      <c r="V289">
        <v>1</v>
      </c>
      <c r="W289">
        <v>1</v>
      </c>
    </row>
    <row r="290" spans="1:23">
      <c r="A290" s="1">
        <v>45666</v>
      </c>
      <c r="B290" t="s">
        <v>104</v>
      </c>
      <c r="C290" t="s">
        <v>89</v>
      </c>
      <c r="D290" t="s">
        <v>25</v>
      </c>
      <c r="E290" t="s">
        <v>34</v>
      </c>
      <c r="F290">
        <v>112</v>
      </c>
      <c r="G290">
        <v>9.2100000000000009</v>
      </c>
      <c r="H290">
        <v>0.80500000000000005</v>
      </c>
      <c r="I290">
        <v>163</v>
      </c>
      <c r="J290">
        <v>47.03</v>
      </c>
      <c r="K290" t="b">
        <v>0</v>
      </c>
      <c r="L290">
        <v>2</v>
      </c>
      <c r="M290" t="s">
        <v>28</v>
      </c>
      <c r="N290">
        <v>14</v>
      </c>
      <c r="O290">
        <v>1</v>
      </c>
      <c r="P290">
        <v>227</v>
      </c>
      <c r="Q290" t="b">
        <v>0</v>
      </c>
      <c r="R290">
        <v>17.857142857142801</v>
      </c>
      <c r="S290">
        <v>2026.7857142857099</v>
      </c>
      <c r="T290" t="s">
        <v>27</v>
      </c>
      <c r="U290">
        <v>1</v>
      </c>
      <c r="V290">
        <v>1</v>
      </c>
      <c r="W290">
        <v>1</v>
      </c>
    </row>
    <row r="291" spans="1:23">
      <c r="A291" s="1">
        <v>45666</v>
      </c>
      <c r="B291" t="s">
        <v>104</v>
      </c>
      <c r="C291" t="s">
        <v>90</v>
      </c>
      <c r="D291" t="s">
        <v>30</v>
      </c>
      <c r="E291" t="s">
        <v>38</v>
      </c>
      <c r="F291">
        <v>291</v>
      </c>
      <c r="G291">
        <v>41.55</v>
      </c>
      <c r="H291">
        <v>0.308</v>
      </c>
      <c r="I291">
        <v>170</v>
      </c>
      <c r="J291">
        <v>28.74</v>
      </c>
      <c r="K291" t="b">
        <v>0</v>
      </c>
      <c r="L291">
        <v>5</v>
      </c>
      <c r="M291" t="s">
        <v>27</v>
      </c>
      <c r="N291">
        <v>15</v>
      </c>
      <c r="O291">
        <v>3</v>
      </c>
      <c r="P291">
        <v>223</v>
      </c>
      <c r="Q291" t="b">
        <v>0</v>
      </c>
      <c r="R291">
        <v>17.1821305841924</v>
      </c>
      <c r="S291">
        <v>766.32302405498206</v>
      </c>
      <c r="T291" t="s">
        <v>39</v>
      </c>
      <c r="U291">
        <v>1</v>
      </c>
      <c r="V291">
        <v>1</v>
      </c>
      <c r="W291">
        <v>1</v>
      </c>
    </row>
    <row r="292" spans="1:23">
      <c r="A292" s="1">
        <v>45666</v>
      </c>
      <c r="B292" t="s">
        <v>104</v>
      </c>
      <c r="C292" t="s">
        <v>91</v>
      </c>
      <c r="D292" t="s">
        <v>33</v>
      </c>
      <c r="E292" t="s">
        <v>47</v>
      </c>
      <c r="F292">
        <v>80</v>
      </c>
      <c r="G292">
        <v>37.68</v>
      </c>
      <c r="H292">
        <v>0.30299999999999999</v>
      </c>
      <c r="I292">
        <v>151</v>
      </c>
      <c r="J292">
        <v>48.95</v>
      </c>
      <c r="K292" t="b">
        <v>0</v>
      </c>
      <c r="L292">
        <v>1</v>
      </c>
      <c r="M292" t="s">
        <v>28</v>
      </c>
      <c r="N292">
        <v>10</v>
      </c>
      <c r="O292">
        <v>7</v>
      </c>
      <c r="P292">
        <v>288</v>
      </c>
      <c r="Q292" t="b">
        <v>0</v>
      </c>
      <c r="R292">
        <v>12.5</v>
      </c>
      <c r="S292">
        <v>3600</v>
      </c>
      <c r="T292" t="s">
        <v>28</v>
      </c>
      <c r="U292">
        <v>1</v>
      </c>
      <c r="V292">
        <v>1</v>
      </c>
      <c r="W292">
        <v>1</v>
      </c>
    </row>
    <row r="293" spans="1:23">
      <c r="A293" s="1">
        <v>45666</v>
      </c>
      <c r="B293" t="s">
        <v>104</v>
      </c>
      <c r="C293" t="s">
        <v>92</v>
      </c>
      <c r="D293" t="s">
        <v>37</v>
      </c>
      <c r="E293" t="s">
        <v>26</v>
      </c>
      <c r="F293">
        <v>131</v>
      </c>
      <c r="G293">
        <v>42.67</v>
      </c>
      <c r="H293">
        <v>0.53400000000000003</v>
      </c>
      <c r="I293">
        <v>183</v>
      </c>
      <c r="J293">
        <v>65.42</v>
      </c>
      <c r="K293" t="b">
        <v>0</v>
      </c>
      <c r="L293">
        <v>3</v>
      </c>
      <c r="M293" t="s">
        <v>27</v>
      </c>
      <c r="N293">
        <v>18</v>
      </c>
      <c r="O293">
        <v>1</v>
      </c>
      <c r="P293">
        <v>261</v>
      </c>
      <c r="Q293" t="b">
        <v>0</v>
      </c>
      <c r="R293">
        <v>22.900763358778601</v>
      </c>
      <c r="S293">
        <v>1992.36641221374</v>
      </c>
      <c r="T293" t="s">
        <v>39</v>
      </c>
      <c r="U293">
        <v>0</v>
      </c>
      <c r="V293">
        <v>1</v>
      </c>
      <c r="W293">
        <v>1</v>
      </c>
    </row>
    <row r="294" spans="1:23">
      <c r="A294" s="1">
        <v>45666</v>
      </c>
      <c r="B294" t="s">
        <v>104</v>
      </c>
      <c r="C294" t="s">
        <v>93</v>
      </c>
      <c r="D294" t="s">
        <v>41</v>
      </c>
      <c r="E294" t="s">
        <v>38</v>
      </c>
      <c r="F294">
        <v>163</v>
      </c>
      <c r="G294">
        <v>2.2200000000000002</v>
      </c>
      <c r="H294">
        <v>0.86799999999999999</v>
      </c>
      <c r="I294">
        <v>130</v>
      </c>
      <c r="J294">
        <v>96.15</v>
      </c>
      <c r="K294" t="b">
        <v>0</v>
      </c>
      <c r="L294">
        <v>0</v>
      </c>
      <c r="M294" t="s">
        <v>35</v>
      </c>
      <c r="N294">
        <v>5</v>
      </c>
      <c r="O294">
        <v>10</v>
      </c>
      <c r="P294">
        <v>132</v>
      </c>
      <c r="Q294" t="b">
        <v>0</v>
      </c>
      <c r="R294">
        <v>0</v>
      </c>
      <c r="S294">
        <v>809.81595092024497</v>
      </c>
      <c r="T294" t="s">
        <v>27</v>
      </c>
      <c r="U294">
        <v>0</v>
      </c>
      <c r="V294">
        <v>1</v>
      </c>
      <c r="W294">
        <v>1</v>
      </c>
    </row>
    <row r="295" spans="1:23">
      <c r="A295" s="1">
        <v>45666</v>
      </c>
      <c r="B295" t="s">
        <v>104</v>
      </c>
      <c r="C295" t="s">
        <v>94</v>
      </c>
      <c r="D295" t="s">
        <v>43</v>
      </c>
      <c r="E295" t="s">
        <v>47</v>
      </c>
      <c r="F295">
        <v>80</v>
      </c>
      <c r="G295">
        <v>21.72</v>
      </c>
      <c r="H295">
        <v>0.86099999999999999</v>
      </c>
      <c r="I295">
        <v>88</v>
      </c>
      <c r="J295">
        <v>57.78</v>
      </c>
      <c r="K295" t="b">
        <v>0</v>
      </c>
      <c r="L295">
        <v>1</v>
      </c>
      <c r="M295" t="s">
        <v>28</v>
      </c>
      <c r="N295">
        <v>9</v>
      </c>
      <c r="O295">
        <v>6</v>
      </c>
      <c r="P295">
        <v>53</v>
      </c>
      <c r="Q295" t="b">
        <v>0</v>
      </c>
      <c r="R295">
        <v>12.5</v>
      </c>
      <c r="S295">
        <v>662.5</v>
      </c>
      <c r="T295" t="s">
        <v>28</v>
      </c>
      <c r="U295">
        <v>1</v>
      </c>
      <c r="V295">
        <v>1</v>
      </c>
      <c r="W295">
        <v>1</v>
      </c>
    </row>
    <row r="296" spans="1:23">
      <c r="A296" s="1">
        <v>45666</v>
      </c>
      <c r="B296" t="s">
        <v>104</v>
      </c>
      <c r="C296" t="s">
        <v>95</v>
      </c>
      <c r="D296" t="s">
        <v>25</v>
      </c>
      <c r="E296" t="s">
        <v>26</v>
      </c>
      <c r="F296">
        <v>112</v>
      </c>
      <c r="G296">
        <v>19.7</v>
      </c>
      <c r="H296">
        <v>0.99</v>
      </c>
      <c r="I296">
        <v>0</v>
      </c>
      <c r="J296">
        <v>78.94</v>
      </c>
      <c r="K296" t="b">
        <v>0</v>
      </c>
      <c r="L296">
        <v>0</v>
      </c>
      <c r="M296" t="s">
        <v>35</v>
      </c>
      <c r="N296">
        <v>6</v>
      </c>
      <c r="O296">
        <v>8</v>
      </c>
      <c r="P296">
        <v>1</v>
      </c>
      <c r="Q296" t="b">
        <v>0</v>
      </c>
      <c r="R296">
        <v>0</v>
      </c>
      <c r="S296">
        <v>8.9285714285714199</v>
      </c>
      <c r="T296" t="s">
        <v>27</v>
      </c>
      <c r="U296">
        <v>0</v>
      </c>
      <c r="V296">
        <v>1</v>
      </c>
      <c r="W296">
        <v>1</v>
      </c>
    </row>
    <row r="297" spans="1:23">
      <c r="A297" s="1">
        <v>45666</v>
      </c>
      <c r="B297" t="s">
        <v>104</v>
      </c>
      <c r="C297" t="s">
        <v>96</v>
      </c>
      <c r="D297" t="s">
        <v>30</v>
      </c>
      <c r="E297" t="s">
        <v>31</v>
      </c>
      <c r="F297">
        <v>582</v>
      </c>
      <c r="G297">
        <v>16.84</v>
      </c>
      <c r="H297">
        <v>0.08</v>
      </c>
      <c r="I297">
        <v>160</v>
      </c>
      <c r="J297">
        <v>95.39</v>
      </c>
      <c r="K297" t="b">
        <v>0</v>
      </c>
      <c r="L297">
        <v>0</v>
      </c>
      <c r="M297" t="s">
        <v>35</v>
      </c>
      <c r="N297">
        <v>14</v>
      </c>
      <c r="O297">
        <v>6</v>
      </c>
      <c r="P297">
        <v>219</v>
      </c>
      <c r="Q297" t="b">
        <v>0</v>
      </c>
      <c r="R297">
        <v>0</v>
      </c>
      <c r="S297">
        <v>376.28865979381402</v>
      </c>
      <c r="T297" t="s">
        <v>27</v>
      </c>
      <c r="U297">
        <v>0</v>
      </c>
      <c r="V297">
        <v>1</v>
      </c>
      <c r="W297">
        <v>1</v>
      </c>
    </row>
    <row r="298" spans="1:23">
      <c r="A298" s="1">
        <v>45666</v>
      </c>
      <c r="B298" t="s">
        <v>104</v>
      </c>
      <c r="C298" t="s">
        <v>97</v>
      </c>
      <c r="D298" t="s">
        <v>33</v>
      </c>
      <c r="E298" t="s">
        <v>47</v>
      </c>
      <c r="F298">
        <v>351</v>
      </c>
      <c r="G298">
        <v>37.799999999999997</v>
      </c>
      <c r="H298">
        <v>0.56899999999999995</v>
      </c>
      <c r="I298">
        <v>101</v>
      </c>
      <c r="J298">
        <v>100</v>
      </c>
      <c r="K298" t="b">
        <v>0</v>
      </c>
      <c r="L298">
        <v>1</v>
      </c>
      <c r="M298" t="s">
        <v>28</v>
      </c>
      <c r="N298">
        <v>10</v>
      </c>
      <c r="O298">
        <v>8</v>
      </c>
      <c r="P298">
        <v>184</v>
      </c>
      <c r="Q298" t="b">
        <v>0</v>
      </c>
      <c r="R298">
        <v>2.8490028490028401</v>
      </c>
      <c r="S298">
        <v>524.21652421652402</v>
      </c>
      <c r="T298" t="s">
        <v>28</v>
      </c>
      <c r="U298">
        <v>0</v>
      </c>
      <c r="V298">
        <v>1</v>
      </c>
      <c r="W298">
        <v>1</v>
      </c>
    </row>
    <row r="299" spans="1:23">
      <c r="A299" s="1">
        <v>45666</v>
      </c>
      <c r="B299" t="s">
        <v>104</v>
      </c>
      <c r="C299" t="s">
        <v>98</v>
      </c>
      <c r="D299" t="s">
        <v>37</v>
      </c>
      <c r="E299" t="s">
        <v>26</v>
      </c>
      <c r="F299">
        <v>244</v>
      </c>
      <c r="G299">
        <v>46.92</v>
      </c>
      <c r="H299">
        <v>0.89500000000000002</v>
      </c>
      <c r="I299">
        <v>43</v>
      </c>
      <c r="J299">
        <v>53.99</v>
      </c>
      <c r="K299" t="b">
        <v>0</v>
      </c>
      <c r="L299">
        <v>3</v>
      </c>
      <c r="M299" t="s">
        <v>39</v>
      </c>
      <c r="N299">
        <v>11</v>
      </c>
      <c r="O299">
        <v>5</v>
      </c>
      <c r="P299">
        <v>32</v>
      </c>
      <c r="Q299" t="b">
        <v>0</v>
      </c>
      <c r="R299">
        <v>12.2950819672131</v>
      </c>
      <c r="S299">
        <v>131.14754098360601</v>
      </c>
      <c r="T299" t="s">
        <v>39</v>
      </c>
      <c r="U299">
        <v>1</v>
      </c>
      <c r="V299">
        <v>1</v>
      </c>
      <c r="W299">
        <v>1</v>
      </c>
    </row>
    <row r="300" spans="1:23">
      <c r="A300" s="1">
        <v>45666</v>
      </c>
      <c r="B300" t="s">
        <v>104</v>
      </c>
      <c r="C300" t="s">
        <v>99</v>
      </c>
      <c r="D300" t="s">
        <v>41</v>
      </c>
      <c r="E300" t="s">
        <v>31</v>
      </c>
      <c r="F300">
        <v>159</v>
      </c>
      <c r="G300">
        <v>41.48</v>
      </c>
      <c r="H300">
        <v>0.26500000000000001</v>
      </c>
      <c r="I300">
        <v>101</v>
      </c>
      <c r="J300">
        <v>53.88</v>
      </c>
      <c r="K300" t="b">
        <v>0</v>
      </c>
      <c r="L300">
        <v>0</v>
      </c>
      <c r="M300" t="s">
        <v>35</v>
      </c>
      <c r="N300">
        <v>16</v>
      </c>
      <c r="O300">
        <v>5</v>
      </c>
      <c r="P300">
        <v>119</v>
      </c>
      <c r="Q300" t="b">
        <v>0</v>
      </c>
      <c r="R300">
        <v>0</v>
      </c>
      <c r="S300">
        <v>748.427672955974</v>
      </c>
      <c r="T300" t="s">
        <v>39</v>
      </c>
      <c r="U300">
        <v>1</v>
      </c>
      <c r="V300">
        <v>1</v>
      </c>
      <c r="W300">
        <v>1</v>
      </c>
    </row>
    <row r="301" spans="1:23">
      <c r="A301" s="1">
        <v>45666</v>
      </c>
      <c r="B301" t="s">
        <v>104</v>
      </c>
      <c r="C301" t="s">
        <v>100</v>
      </c>
      <c r="D301" t="s">
        <v>43</v>
      </c>
      <c r="E301" t="s">
        <v>34</v>
      </c>
      <c r="F301">
        <v>152</v>
      </c>
      <c r="G301">
        <v>29.47</v>
      </c>
      <c r="H301">
        <v>7.0999999999999994E-2</v>
      </c>
      <c r="I301">
        <v>178</v>
      </c>
      <c r="J301">
        <v>70.78</v>
      </c>
      <c r="K301" t="b">
        <v>0</v>
      </c>
      <c r="L301">
        <v>1</v>
      </c>
      <c r="M301" t="s">
        <v>39</v>
      </c>
      <c r="N301">
        <v>10</v>
      </c>
      <c r="O301">
        <v>10</v>
      </c>
      <c r="P301">
        <v>231</v>
      </c>
      <c r="Q301" t="b">
        <v>0</v>
      </c>
      <c r="R301">
        <v>6.5789473684210504</v>
      </c>
      <c r="S301">
        <v>1519.7368421052599</v>
      </c>
      <c r="T301" t="s">
        <v>28</v>
      </c>
      <c r="U301">
        <v>0</v>
      </c>
      <c r="V301">
        <v>1</v>
      </c>
      <c r="W301">
        <v>1</v>
      </c>
    </row>
    <row r="302" spans="1:23">
      <c r="A302" s="1">
        <v>45756</v>
      </c>
      <c r="B302" t="s">
        <v>105</v>
      </c>
      <c r="C302" t="s">
        <v>24</v>
      </c>
      <c r="D302" t="s">
        <v>25</v>
      </c>
      <c r="E302" t="s">
        <v>26</v>
      </c>
      <c r="F302">
        <v>103</v>
      </c>
      <c r="G302">
        <v>24.44</v>
      </c>
      <c r="H302">
        <v>0.67700000000000005</v>
      </c>
      <c r="I302">
        <v>131</v>
      </c>
      <c r="J302">
        <v>75.099999999999994</v>
      </c>
      <c r="K302" t="b">
        <v>0</v>
      </c>
      <c r="L302">
        <v>1</v>
      </c>
      <c r="M302" t="s">
        <v>28</v>
      </c>
      <c r="N302">
        <v>12</v>
      </c>
      <c r="O302">
        <v>7</v>
      </c>
      <c r="P302">
        <v>203</v>
      </c>
      <c r="Q302" t="b">
        <v>0</v>
      </c>
      <c r="R302">
        <v>9.7087378640776691</v>
      </c>
      <c r="S302">
        <v>1970.87378640776</v>
      </c>
      <c r="T302" t="s">
        <v>28</v>
      </c>
      <c r="U302">
        <v>0</v>
      </c>
      <c r="V302">
        <v>4</v>
      </c>
      <c r="W302">
        <v>2</v>
      </c>
    </row>
    <row r="303" spans="1:23">
      <c r="A303" s="1">
        <v>45756</v>
      </c>
      <c r="B303" t="s">
        <v>105</v>
      </c>
      <c r="C303" t="s">
        <v>29</v>
      </c>
      <c r="D303" t="s">
        <v>30</v>
      </c>
      <c r="E303" t="s">
        <v>31</v>
      </c>
      <c r="F303">
        <v>215</v>
      </c>
      <c r="G303">
        <v>40.01</v>
      </c>
      <c r="H303">
        <v>0.61699999999999999</v>
      </c>
      <c r="I303">
        <v>95</v>
      </c>
      <c r="J303">
        <v>45.49</v>
      </c>
      <c r="K303" t="b">
        <v>0</v>
      </c>
      <c r="L303">
        <v>4</v>
      </c>
      <c r="M303" t="s">
        <v>28</v>
      </c>
      <c r="N303">
        <v>13</v>
      </c>
      <c r="O303">
        <v>12</v>
      </c>
      <c r="P303">
        <v>123</v>
      </c>
      <c r="Q303" t="b">
        <v>0</v>
      </c>
      <c r="R303">
        <v>18.604651162790699</v>
      </c>
      <c r="S303">
        <v>572.09302325581302</v>
      </c>
      <c r="T303" t="s">
        <v>39</v>
      </c>
      <c r="U303">
        <v>1</v>
      </c>
      <c r="V303">
        <v>4</v>
      </c>
      <c r="W303">
        <v>2</v>
      </c>
    </row>
    <row r="304" spans="1:23">
      <c r="A304" s="1">
        <v>45756</v>
      </c>
      <c r="B304" t="s">
        <v>105</v>
      </c>
      <c r="C304" t="s">
        <v>32</v>
      </c>
      <c r="D304" t="s">
        <v>33</v>
      </c>
      <c r="E304" t="s">
        <v>34</v>
      </c>
      <c r="F304">
        <v>176</v>
      </c>
      <c r="G304">
        <v>34.33</v>
      </c>
      <c r="H304">
        <v>0.65</v>
      </c>
      <c r="I304">
        <v>36</v>
      </c>
      <c r="J304">
        <v>66.88</v>
      </c>
      <c r="K304" t="b">
        <v>0</v>
      </c>
      <c r="L304">
        <v>0</v>
      </c>
      <c r="M304" t="s">
        <v>35</v>
      </c>
      <c r="N304">
        <v>13</v>
      </c>
      <c r="O304">
        <v>4</v>
      </c>
      <c r="P304">
        <v>57</v>
      </c>
      <c r="Q304" t="b">
        <v>0</v>
      </c>
      <c r="R304">
        <v>0</v>
      </c>
      <c r="S304">
        <v>323.86363636363598</v>
      </c>
      <c r="T304" t="s">
        <v>28</v>
      </c>
      <c r="U304">
        <v>0</v>
      </c>
      <c r="V304">
        <v>4</v>
      </c>
      <c r="W304">
        <v>2</v>
      </c>
    </row>
    <row r="305" spans="1:23">
      <c r="A305" s="1">
        <v>45756</v>
      </c>
      <c r="B305" t="s">
        <v>105</v>
      </c>
      <c r="C305" t="s">
        <v>36</v>
      </c>
      <c r="D305" t="s">
        <v>37</v>
      </c>
      <c r="E305" t="s">
        <v>38</v>
      </c>
      <c r="F305">
        <v>150</v>
      </c>
      <c r="G305">
        <v>48.27</v>
      </c>
      <c r="H305">
        <v>0.05</v>
      </c>
      <c r="I305">
        <v>114</v>
      </c>
      <c r="J305">
        <v>85.21</v>
      </c>
      <c r="K305" t="b">
        <v>0</v>
      </c>
      <c r="L305">
        <v>1</v>
      </c>
      <c r="M305" t="s">
        <v>28</v>
      </c>
      <c r="N305">
        <v>6</v>
      </c>
      <c r="O305">
        <v>1</v>
      </c>
      <c r="P305">
        <v>127</v>
      </c>
      <c r="Q305" t="b">
        <v>0</v>
      </c>
      <c r="R305">
        <v>6.6666666666666599</v>
      </c>
      <c r="S305">
        <v>846.66666666666595</v>
      </c>
      <c r="T305" t="s">
        <v>39</v>
      </c>
      <c r="U305">
        <v>0</v>
      </c>
      <c r="V305">
        <v>4</v>
      </c>
      <c r="W305">
        <v>2</v>
      </c>
    </row>
    <row r="306" spans="1:23">
      <c r="A306" s="1">
        <v>45756</v>
      </c>
      <c r="B306" t="s">
        <v>105</v>
      </c>
      <c r="C306" t="s">
        <v>40</v>
      </c>
      <c r="D306" t="s">
        <v>41</v>
      </c>
      <c r="E306" t="s">
        <v>31</v>
      </c>
      <c r="F306">
        <v>235</v>
      </c>
      <c r="G306">
        <v>37.880000000000003</v>
      </c>
      <c r="H306">
        <v>0.55100000000000005</v>
      </c>
      <c r="I306">
        <v>176</v>
      </c>
      <c r="J306">
        <v>67.25</v>
      </c>
      <c r="K306" t="b">
        <v>0</v>
      </c>
      <c r="L306">
        <v>1</v>
      </c>
      <c r="M306" t="s">
        <v>27</v>
      </c>
      <c r="N306">
        <v>20</v>
      </c>
      <c r="O306">
        <v>2</v>
      </c>
      <c r="P306">
        <v>274</v>
      </c>
      <c r="Q306" t="b">
        <v>0</v>
      </c>
      <c r="R306">
        <v>4.2553191489361701</v>
      </c>
      <c r="S306">
        <v>1165.95744680851</v>
      </c>
      <c r="T306" t="s">
        <v>28</v>
      </c>
      <c r="U306">
        <v>0</v>
      </c>
      <c r="V306">
        <v>4</v>
      </c>
      <c r="W306">
        <v>2</v>
      </c>
    </row>
    <row r="307" spans="1:23">
      <c r="A307" s="1">
        <v>45756</v>
      </c>
      <c r="B307" t="s">
        <v>105</v>
      </c>
      <c r="C307" t="s">
        <v>42</v>
      </c>
      <c r="D307" t="s">
        <v>43</v>
      </c>
      <c r="E307" t="s">
        <v>34</v>
      </c>
      <c r="F307">
        <v>333</v>
      </c>
      <c r="G307">
        <v>26.24</v>
      </c>
      <c r="H307">
        <v>0.499</v>
      </c>
      <c r="I307">
        <v>119</v>
      </c>
      <c r="J307">
        <v>44.42</v>
      </c>
      <c r="K307" t="b">
        <v>0</v>
      </c>
      <c r="L307">
        <v>2</v>
      </c>
      <c r="M307" t="s">
        <v>28</v>
      </c>
      <c r="N307">
        <v>16</v>
      </c>
      <c r="O307">
        <v>8</v>
      </c>
      <c r="P307">
        <v>168</v>
      </c>
      <c r="Q307" t="b">
        <v>0</v>
      </c>
      <c r="R307">
        <v>6.0060060060060003</v>
      </c>
      <c r="S307">
        <v>504.50450450450398</v>
      </c>
      <c r="T307" t="s">
        <v>28</v>
      </c>
      <c r="U307">
        <v>1</v>
      </c>
      <c r="V307">
        <v>4</v>
      </c>
      <c r="W307">
        <v>2</v>
      </c>
    </row>
    <row r="308" spans="1:23">
      <c r="A308" s="1">
        <v>45756</v>
      </c>
      <c r="B308" t="s">
        <v>105</v>
      </c>
      <c r="C308" t="s">
        <v>45</v>
      </c>
      <c r="D308" t="s">
        <v>25</v>
      </c>
      <c r="E308" t="s">
        <v>38</v>
      </c>
      <c r="F308">
        <v>199</v>
      </c>
      <c r="G308">
        <v>13.9</v>
      </c>
      <c r="H308">
        <v>0.23300000000000001</v>
      </c>
      <c r="I308">
        <v>199</v>
      </c>
      <c r="J308">
        <v>30.59</v>
      </c>
      <c r="K308" t="b">
        <v>0</v>
      </c>
      <c r="L308">
        <v>0</v>
      </c>
      <c r="M308" t="s">
        <v>35</v>
      </c>
      <c r="N308">
        <v>17</v>
      </c>
      <c r="O308">
        <v>7</v>
      </c>
      <c r="P308">
        <v>289</v>
      </c>
      <c r="Q308" t="b">
        <v>0</v>
      </c>
      <c r="R308">
        <v>0</v>
      </c>
      <c r="S308">
        <v>1452.26130653266</v>
      </c>
      <c r="T308" t="s">
        <v>27</v>
      </c>
      <c r="U308">
        <v>1</v>
      </c>
      <c r="V308">
        <v>4</v>
      </c>
      <c r="W308">
        <v>2</v>
      </c>
    </row>
    <row r="309" spans="1:23">
      <c r="A309" s="1">
        <v>45756</v>
      </c>
      <c r="B309" t="s">
        <v>105</v>
      </c>
      <c r="C309" t="s">
        <v>46</v>
      </c>
      <c r="D309" t="s">
        <v>30</v>
      </c>
      <c r="E309" t="s">
        <v>47</v>
      </c>
      <c r="F309">
        <v>104</v>
      </c>
      <c r="G309">
        <v>6.64</v>
      </c>
      <c r="H309">
        <v>0.58299999999999996</v>
      </c>
      <c r="I309">
        <v>80</v>
      </c>
      <c r="J309">
        <v>57.71</v>
      </c>
      <c r="K309" t="b">
        <v>0</v>
      </c>
      <c r="L309">
        <v>1</v>
      </c>
      <c r="M309" t="s">
        <v>28</v>
      </c>
      <c r="N309">
        <v>11</v>
      </c>
      <c r="O309">
        <v>9</v>
      </c>
      <c r="P309">
        <v>132</v>
      </c>
      <c r="Q309" t="b">
        <v>0</v>
      </c>
      <c r="R309">
        <v>9.6153846153846096</v>
      </c>
      <c r="S309">
        <v>1269.23076923076</v>
      </c>
      <c r="T309" t="s">
        <v>27</v>
      </c>
      <c r="U309">
        <v>1</v>
      </c>
      <c r="V309">
        <v>4</v>
      </c>
      <c r="W309">
        <v>2</v>
      </c>
    </row>
    <row r="310" spans="1:23">
      <c r="A310" s="1">
        <v>45756</v>
      </c>
      <c r="B310" t="s">
        <v>105</v>
      </c>
      <c r="C310" t="s">
        <v>48</v>
      </c>
      <c r="D310" t="s">
        <v>33</v>
      </c>
      <c r="E310" t="s">
        <v>34</v>
      </c>
      <c r="F310">
        <v>250</v>
      </c>
      <c r="G310">
        <v>19.04</v>
      </c>
      <c r="H310">
        <v>0.81599999999999995</v>
      </c>
      <c r="I310">
        <v>118</v>
      </c>
      <c r="J310">
        <v>60.99</v>
      </c>
      <c r="K310" t="b">
        <v>0</v>
      </c>
      <c r="L310">
        <v>1</v>
      </c>
      <c r="M310" t="s">
        <v>27</v>
      </c>
      <c r="N310">
        <v>15</v>
      </c>
      <c r="O310">
        <v>9</v>
      </c>
      <c r="P310">
        <v>199</v>
      </c>
      <c r="Q310" t="b">
        <v>0</v>
      </c>
      <c r="R310">
        <v>4</v>
      </c>
      <c r="S310">
        <v>796</v>
      </c>
      <c r="T310" t="s">
        <v>27</v>
      </c>
      <c r="U310">
        <v>0</v>
      </c>
      <c r="V310">
        <v>4</v>
      </c>
      <c r="W310">
        <v>2</v>
      </c>
    </row>
    <row r="311" spans="1:23">
      <c r="A311" s="1">
        <v>45756</v>
      </c>
      <c r="B311" t="s">
        <v>105</v>
      </c>
      <c r="C311" t="s">
        <v>49</v>
      </c>
      <c r="D311" t="s">
        <v>37</v>
      </c>
      <c r="E311" t="s">
        <v>38</v>
      </c>
      <c r="F311">
        <v>155</v>
      </c>
      <c r="G311">
        <v>39.299999999999997</v>
      </c>
      <c r="H311">
        <v>0.34100000000000003</v>
      </c>
      <c r="I311">
        <v>185</v>
      </c>
      <c r="J311">
        <v>72.680000000000007</v>
      </c>
      <c r="K311" t="b">
        <v>0</v>
      </c>
      <c r="L311">
        <v>3</v>
      </c>
      <c r="M311" t="s">
        <v>27</v>
      </c>
      <c r="N311">
        <v>15</v>
      </c>
      <c r="O311">
        <v>13</v>
      </c>
      <c r="P311">
        <v>284</v>
      </c>
      <c r="Q311" t="b">
        <v>0</v>
      </c>
      <c r="R311">
        <v>19.354838709677399</v>
      </c>
      <c r="S311">
        <v>1832.2580645161199</v>
      </c>
      <c r="T311" t="s">
        <v>28</v>
      </c>
      <c r="U311">
        <v>0</v>
      </c>
      <c r="V311">
        <v>4</v>
      </c>
      <c r="W311">
        <v>2</v>
      </c>
    </row>
    <row r="312" spans="1:23">
      <c r="A312" s="1">
        <v>45756</v>
      </c>
      <c r="B312" t="s">
        <v>105</v>
      </c>
      <c r="C312" t="s">
        <v>50</v>
      </c>
      <c r="D312" t="s">
        <v>41</v>
      </c>
      <c r="E312" t="s">
        <v>47</v>
      </c>
      <c r="F312">
        <v>346</v>
      </c>
      <c r="G312">
        <v>45.55</v>
      </c>
      <c r="H312">
        <v>0.47199999999999998</v>
      </c>
      <c r="I312">
        <v>39</v>
      </c>
      <c r="J312">
        <v>70.73</v>
      </c>
      <c r="K312" t="b">
        <v>0</v>
      </c>
      <c r="L312">
        <v>2</v>
      </c>
      <c r="M312" t="s">
        <v>44</v>
      </c>
      <c r="N312">
        <v>6</v>
      </c>
      <c r="O312">
        <v>9</v>
      </c>
      <c r="P312">
        <v>69</v>
      </c>
      <c r="Q312" t="b">
        <v>0</v>
      </c>
      <c r="R312">
        <v>5.7803468208092399</v>
      </c>
      <c r="S312">
        <v>199.42196531791899</v>
      </c>
      <c r="T312" t="s">
        <v>39</v>
      </c>
      <c r="U312">
        <v>0</v>
      </c>
      <c r="V312">
        <v>4</v>
      </c>
      <c r="W312">
        <v>2</v>
      </c>
    </row>
    <row r="313" spans="1:23">
      <c r="A313" s="1">
        <v>45756</v>
      </c>
      <c r="B313" t="s">
        <v>105</v>
      </c>
      <c r="C313" t="s">
        <v>51</v>
      </c>
      <c r="D313" t="s">
        <v>43</v>
      </c>
      <c r="E313" t="s">
        <v>26</v>
      </c>
      <c r="F313">
        <v>166</v>
      </c>
      <c r="G313">
        <v>45.46</v>
      </c>
      <c r="H313">
        <v>0.18</v>
      </c>
      <c r="I313">
        <v>114</v>
      </c>
      <c r="J313">
        <v>52.69</v>
      </c>
      <c r="K313" t="b">
        <v>0</v>
      </c>
      <c r="L313">
        <v>1</v>
      </c>
      <c r="M313" t="s">
        <v>28</v>
      </c>
      <c r="N313">
        <v>8</v>
      </c>
      <c r="O313">
        <v>10</v>
      </c>
      <c r="P313">
        <v>190</v>
      </c>
      <c r="Q313" t="b">
        <v>0</v>
      </c>
      <c r="R313">
        <v>6.0240963855421601</v>
      </c>
      <c r="S313">
        <v>1144.57831325301</v>
      </c>
      <c r="T313" t="s">
        <v>39</v>
      </c>
      <c r="U313">
        <v>1</v>
      </c>
      <c r="V313">
        <v>4</v>
      </c>
      <c r="W313">
        <v>2</v>
      </c>
    </row>
    <row r="314" spans="1:23">
      <c r="A314" s="1">
        <v>45756</v>
      </c>
      <c r="B314" t="s">
        <v>105</v>
      </c>
      <c r="C314" t="s">
        <v>52</v>
      </c>
      <c r="D314" t="s">
        <v>25</v>
      </c>
      <c r="E314" t="s">
        <v>38</v>
      </c>
      <c r="F314">
        <v>295</v>
      </c>
      <c r="G314">
        <v>21.81</v>
      </c>
      <c r="H314">
        <v>0.78100000000000003</v>
      </c>
      <c r="I314">
        <v>123</v>
      </c>
      <c r="J314">
        <v>56.74</v>
      </c>
      <c r="K314" t="b">
        <v>0</v>
      </c>
      <c r="L314">
        <v>4</v>
      </c>
      <c r="M314" t="s">
        <v>27</v>
      </c>
      <c r="N314">
        <v>13</v>
      </c>
      <c r="O314">
        <v>2</v>
      </c>
      <c r="P314">
        <v>203</v>
      </c>
      <c r="Q314" t="b">
        <v>0</v>
      </c>
      <c r="R314">
        <v>13.559322033898299</v>
      </c>
      <c r="S314">
        <v>688.13559322033905</v>
      </c>
      <c r="T314" t="s">
        <v>28</v>
      </c>
      <c r="U314">
        <v>1</v>
      </c>
      <c r="V314">
        <v>4</v>
      </c>
      <c r="W314">
        <v>2</v>
      </c>
    </row>
    <row r="315" spans="1:23">
      <c r="A315" s="1">
        <v>45756</v>
      </c>
      <c r="B315" t="s">
        <v>105</v>
      </c>
      <c r="C315" t="s">
        <v>53</v>
      </c>
      <c r="D315" t="s">
        <v>30</v>
      </c>
      <c r="E315" t="s">
        <v>47</v>
      </c>
      <c r="F315">
        <v>105</v>
      </c>
      <c r="G315">
        <v>24.91</v>
      </c>
      <c r="H315">
        <v>0.49299999999999999</v>
      </c>
      <c r="I315">
        <v>193</v>
      </c>
      <c r="J315">
        <v>51.72</v>
      </c>
      <c r="K315" t="b">
        <v>0</v>
      </c>
      <c r="L315">
        <v>0</v>
      </c>
      <c r="M315" t="s">
        <v>35</v>
      </c>
      <c r="N315">
        <v>15</v>
      </c>
      <c r="O315">
        <v>10</v>
      </c>
      <c r="P315">
        <v>323</v>
      </c>
      <c r="Q315" t="b">
        <v>0</v>
      </c>
      <c r="R315">
        <v>0</v>
      </c>
      <c r="S315">
        <v>3076.1904761904698</v>
      </c>
      <c r="T315" t="s">
        <v>28</v>
      </c>
      <c r="U315">
        <v>1</v>
      </c>
      <c r="V315">
        <v>4</v>
      </c>
      <c r="W315">
        <v>2</v>
      </c>
    </row>
    <row r="316" spans="1:23">
      <c r="A316" s="1">
        <v>45756</v>
      </c>
      <c r="B316" t="s">
        <v>105</v>
      </c>
      <c r="C316" t="s">
        <v>54</v>
      </c>
      <c r="D316" t="s">
        <v>33</v>
      </c>
      <c r="E316" t="s">
        <v>26</v>
      </c>
      <c r="F316">
        <v>513</v>
      </c>
      <c r="G316">
        <v>3.88</v>
      </c>
      <c r="H316">
        <v>0.29099999999999998</v>
      </c>
      <c r="I316">
        <v>55</v>
      </c>
      <c r="J316">
        <v>51.75</v>
      </c>
      <c r="K316" t="b">
        <v>0</v>
      </c>
      <c r="L316">
        <v>0</v>
      </c>
      <c r="M316" t="s">
        <v>35</v>
      </c>
      <c r="N316">
        <v>11</v>
      </c>
      <c r="O316">
        <v>3</v>
      </c>
      <c r="P316">
        <v>56</v>
      </c>
      <c r="Q316" t="b">
        <v>0</v>
      </c>
      <c r="R316">
        <v>0</v>
      </c>
      <c r="S316">
        <v>109.161793372319</v>
      </c>
      <c r="T316" t="s">
        <v>27</v>
      </c>
      <c r="U316">
        <v>1</v>
      </c>
      <c r="V316">
        <v>4</v>
      </c>
      <c r="W316">
        <v>2</v>
      </c>
    </row>
    <row r="317" spans="1:23">
      <c r="A317" s="1">
        <v>45756</v>
      </c>
      <c r="B317" t="s">
        <v>105</v>
      </c>
      <c r="C317" t="s">
        <v>55</v>
      </c>
      <c r="D317" t="s">
        <v>37</v>
      </c>
      <c r="E317" t="s">
        <v>31</v>
      </c>
      <c r="F317">
        <v>128</v>
      </c>
      <c r="G317">
        <v>32.31</v>
      </c>
      <c r="H317">
        <v>0.72</v>
      </c>
      <c r="I317">
        <v>78</v>
      </c>
      <c r="J317">
        <v>74.78</v>
      </c>
      <c r="K317" t="b">
        <v>0</v>
      </c>
      <c r="L317">
        <v>1</v>
      </c>
      <c r="M317" t="s">
        <v>44</v>
      </c>
      <c r="N317">
        <v>9</v>
      </c>
      <c r="O317">
        <v>3</v>
      </c>
      <c r="P317">
        <v>111</v>
      </c>
      <c r="Q317" t="b">
        <v>0</v>
      </c>
      <c r="R317">
        <v>7.8125</v>
      </c>
      <c r="S317">
        <v>867.1875</v>
      </c>
      <c r="T317" t="s">
        <v>28</v>
      </c>
      <c r="U317">
        <v>0</v>
      </c>
      <c r="V317">
        <v>4</v>
      </c>
      <c r="W317">
        <v>2</v>
      </c>
    </row>
    <row r="318" spans="1:23">
      <c r="A318" s="1">
        <v>45756</v>
      </c>
      <c r="B318" t="s">
        <v>105</v>
      </c>
      <c r="C318" t="s">
        <v>56</v>
      </c>
      <c r="D318" t="s">
        <v>41</v>
      </c>
      <c r="E318" t="s">
        <v>47</v>
      </c>
      <c r="F318">
        <v>146</v>
      </c>
      <c r="G318">
        <v>27.67</v>
      </c>
      <c r="H318">
        <v>0.748</v>
      </c>
      <c r="I318">
        <v>83</v>
      </c>
      <c r="J318">
        <v>88.85</v>
      </c>
      <c r="K318" t="b">
        <v>0</v>
      </c>
      <c r="L318">
        <v>0</v>
      </c>
      <c r="M318" t="s">
        <v>35</v>
      </c>
      <c r="N318">
        <v>12</v>
      </c>
      <c r="O318">
        <v>1</v>
      </c>
      <c r="P318">
        <v>49</v>
      </c>
      <c r="Q318" t="b">
        <v>0</v>
      </c>
      <c r="R318">
        <v>0</v>
      </c>
      <c r="S318">
        <v>335.616438356164</v>
      </c>
      <c r="T318" t="s">
        <v>28</v>
      </c>
      <c r="U318">
        <v>0</v>
      </c>
      <c r="V318">
        <v>4</v>
      </c>
      <c r="W318">
        <v>2</v>
      </c>
    </row>
    <row r="319" spans="1:23">
      <c r="A319" s="1">
        <v>45756</v>
      </c>
      <c r="B319" t="s">
        <v>105</v>
      </c>
      <c r="C319" t="s">
        <v>57</v>
      </c>
      <c r="D319" t="s">
        <v>43</v>
      </c>
      <c r="E319" t="s">
        <v>26</v>
      </c>
      <c r="F319">
        <v>243</v>
      </c>
      <c r="G319">
        <v>12.39</v>
      </c>
      <c r="H319">
        <v>0.252</v>
      </c>
      <c r="I319">
        <v>109</v>
      </c>
      <c r="J319">
        <v>32.61</v>
      </c>
      <c r="K319" t="b">
        <v>0</v>
      </c>
      <c r="L319">
        <v>1</v>
      </c>
      <c r="M319" t="s">
        <v>39</v>
      </c>
      <c r="N319">
        <v>14</v>
      </c>
      <c r="O319">
        <v>9</v>
      </c>
      <c r="P319">
        <v>126</v>
      </c>
      <c r="Q319" t="b">
        <v>0</v>
      </c>
      <c r="R319">
        <v>4.1152263374485596</v>
      </c>
      <c r="S319">
        <v>518.51851851851802</v>
      </c>
      <c r="T319" t="s">
        <v>27</v>
      </c>
      <c r="U319">
        <v>1</v>
      </c>
      <c r="V319">
        <v>4</v>
      </c>
      <c r="W319">
        <v>2</v>
      </c>
    </row>
    <row r="320" spans="1:23">
      <c r="A320" s="1">
        <v>45756</v>
      </c>
      <c r="B320" t="s">
        <v>105</v>
      </c>
      <c r="C320" t="s">
        <v>58</v>
      </c>
      <c r="D320" t="s">
        <v>25</v>
      </c>
      <c r="E320" t="s">
        <v>31</v>
      </c>
      <c r="F320">
        <v>725</v>
      </c>
      <c r="G320">
        <v>32.700000000000003</v>
      </c>
      <c r="H320">
        <v>0.39</v>
      </c>
      <c r="I320">
        <v>97</v>
      </c>
      <c r="J320">
        <v>36.06</v>
      </c>
      <c r="K320" t="b">
        <v>0</v>
      </c>
      <c r="L320">
        <v>5</v>
      </c>
      <c r="M320" t="s">
        <v>39</v>
      </c>
      <c r="N320">
        <v>15</v>
      </c>
      <c r="O320">
        <v>12</v>
      </c>
      <c r="P320">
        <v>116</v>
      </c>
      <c r="Q320" t="b">
        <v>0</v>
      </c>
      <c r="R320">
        <v>6.8965517241379297</v>
      </c>
      <c r="S320">
        <v>160</v>
      </c>
      <c r="T320" t="s">
        <v>28</v>
      </c>
      <c r="U320">
        <v>1</v>
      </c>
      <c r="V320">
        <v>4</v>
      </c>
      <c r="W320">
        <v>2</v>
      </c>
    </row>
    <row r="321" spans="1:23">
      <c r="A321" s="1">
        <v>45756</v>
      </c>
      <c r="B321" t="s">
        <v>105</v>
      </c>
      <c r="C321" t="s">
        <v>59</v>
      </c>
      <c r="D321" t="s">
        <v>30</v>
      </c>
      <c r="E321" t="s">
        <v>34</v>
      </c>
      <c r="F321">
        <v>193</v>
      </c>
      <c r="G321">
        <v>31.51</v>
      </c>
      <c r="H321">
        <v>0.22900000000000001</v>
      </c>
      <c r="I321">
        <v>72</v>
      </c>
      <c r="J321">
        <v>80.14</v>
      </c>
      <c r="K321" t="b">
        <v>0</v>
      </c>
      <c r="L321">
        <v>0</v>
      </c>
      <c r="M321" t="s">
        <v>35</v>
      </c>
      <c r="N321">
        <v>8</v>
      </c>
      <c r="O321">
        <v>7</v>
      </c>
      <c r="P321">
        <v>136</v>
      </c>
      <c r="Q321" t="b">
        <v>0</v>
      </c>
      <c r="R321">
        <v>0</v>
      </c>
      <c r="S321">
        <v>704.66321243523305</v>
      </c>
      <c r="T321" t="s">
        <v>28</v>
      </c>
      <c r="U321">
        <v>0</v>
      </c>
      <c r="V321">
        <v>4</v>
      </c>
      <c r="W321">
        <v>2</v>
      </c>
    </row>
    <row r="322" spans="1:23">
      <c r="A322" s="1">
        <v>45756</v>
      </c>
      <c r="B322" t="s">
        <v>105</v>
      </c>
      <c r="C322" t="s">
        <v>60</v>
      </c>
      <c r="D322" t="s">
        <v>33</v>
      </c>
      <c r="E322" t="s">
        <v>26</v>
      </c>
      <c r="F322">
        <v>225</v>
      </c>
      <c r="G322">
        <v>48.55</v>
      </c>
      <c r="H322">
        <v>0.57199999999999995</v>
      </c>
      <c r="I322">
        <v>178</v>
      </c>
      <c r="J322">
        <v>48.64</v>
      </c>
      <c r="K322" t="b">
        <v>0</v>
      </c>
      <c r="L322">
        <v>0</v>
      </c>
      <c r="M322" t="s">
        <v>35</v>
      </c>
      <c r="N322">
        <v>13</v>
      </c>
      <c r="O322">
        <v>6</v>
      </c>
      <c r="P322">
        <v>315</v>
      </c>
      <c r="Q322" t="b">
        <v>0</v>
      </c>
      <c r="R322">
        <v>0</v>
      </c>
      <c r="S322">
        <v>1400</v>
      </c>
      <c r="T322" t="s">
        <v>39</v>
      </c>
      <c r="U322">
        <v>1</v>
      </c>
      <c r="V322">
        <v>4</v>
      </c>
      <c r="W322">
        <v>2</v>
      </c>
    </row>
    <row r="323" spans="1:23">
      <c r="A323" s="1">
        <v>45756</v>
      </c>
      <c r="B323" t="s">
        <v>105</v>
      </c>
      <c r="C323" t="s">
        <v>61</v>
      </c>
      <c r="D323" t="s">
        <v>37</v>
      </c>
      <c r="E323" t="s">
        <v>31</v>
      </c>
      <c r="F323">
        <v>80</v>
      </c>
      <c r="G323">
        <v>39.54</v>
      </c>
      <c r="H323">
        <v>0.67200000000000004</v>
      </c>
      <c r="I323">
        <v>100</v>
      </c>
      <c r="J323">
        <v>50.37</v>
      </c>
      <c r="K323" t="b">
        <v>0</v>
      </c>
      <c r="L323">
        <v>1</v>
      </c>
      <c r="M323" t="s">
        <v>28</v>
      </c>
      <c r="N323">
        <v>21</v>
      </c>
      <c r="O323">
        <v>8</v>
      </c>
      <c r="P323">
        <v>113</v>
      </c>
      <c r="Q323" t="b">
        <v>0</v>
      </c>
      <c r="R323">
        <v>12.5</v>
      </c>
      <c r="S323">
        <v>1412.5</v>
      </c>
      <c r="T323" t="s">
        <v>28</v>
      </c>
      <c r="U323">
        <v>1</v>
      </c>
      <c r="V323">
        <v>4</v>
      </c>
      <c r="W323">
        <v>2</v>
      </c>
    </row>
    <row r="324" spans="1:23">
      <c r="A324" s="1">
        <v>45756</v>
      </c>
      <c r="B324" t="s">
        <v>105</v>
      </c>
      <c r="C324" t="s">
        <v>62</v>
      </c>
      <c r="D324" t="s">
        <v>41</v>
      </c>
      <c r="E324" t="s">
        <v>34</v>
      </c>
      <c r="F324">
        <v>331</v>
      </c>
      <c r="G324">
        <v>14.93</v>
      </c>
      <c r="H324">
        <v>0.71799999999999997</v>
      </c>
      <c r="I324">
        <v>194</v>
      </c>
      <c r="J324">
        <v>60.08</v>
      </c>
      <c r="K324" t="b">
        <v>0</v>
      </c>
      <c r="L324">
        <v>3</v>
      </c>
      <c r="M324" t="s">
        <v>28</v>
      </c>
      <c r="N324">
        <v>23</v>
      </c>
      <c r="O324">
        <v>9</v>
      </c>
      <c r="P324">
        <v>256</v>
      </c>
      <c r="Q324" t="b">
        <v>0</v>
      </c>
      <c r="R324">
        <v>9.0634441087613293</v>
      </c>
      <c r="S324">
        <v>773.41389728096601</v>
      </c>
      <c r="T324" t="s">
        <v>27</v>
      </c>
      <c r="U324">
        <v>0</v>
      </c>
      <c r="V324">
        <v>4</v>
      </c>
      <c r="W324">
        <v>2</v>
      </c>
    </row>
    <row r="325" spans="1:23">
      <c r="A325" s="1">
        <v>45756</v>
      </c>
      <c r="B325" t="s">
        <v>105</v>
      </c>
      <c r="C325" t="s">
        <v>63</v>
      </c>
      <c r="D325" t="s">
        <v>43</v>
      </c>
      <c r="E325" t="s">
        <v>38</v>
      </c>
      <c r="F325">
        <v>168</v>
      </c>
      <c r="G325">
        <v>36.1</v>
      </c>
      <c r="H325">
        <v>0.25900000000000001</v>
      </c>
      <c r="I325">
        <v>0</v>
      </c>
      <c r="J325">
        <v>68.37</v>
      </c>
      <c r="K325" t="b">
        <v>0</v>
      </c>
      <c r="L325">
        <v>0</v>
      </c>
      <c r="M325" t="s">
        <v>35</v>
      </c>
      <c r="N325">
        <v>4</v>
      </c>
      <c r="O325">
        <v>11</v>
      </c>
      <c r="P325">
        <v>1</v>
      </c>
      <c r="Q325" t="b">
        <v>0</v>
      </c>
      <c r="R325">
        <v>0</v>
      </c>
      <c r="S325">
        <v>5.9523809523809499</v>
      </c>
      <c r="T325" t="s">
        <v>28</v>
      </c>
      <c r="U325">
        <v>0</v>
      </c>
      <c r="V325">
        <v>4</v>
      </c>
      <c r="W325">
        <v>2</v>
      </c>
    </row>
    <row r="326" spans="1:23">
      <c r="A326" s="1">
        <v>45756</v>
      </c>
      <c r="B326" t="s">
        <v>105</v>
      </c>
      <c r="C326" t="s">
        <v>64</v>
      </c>
      <c r="D326" t="s">
        <v>25</v>
      </c>
      <c r="E326" t="s">
        <v>31</v>
      </c>
      <c r="F326">
        <v>292</v>
      </c>
      <c r="G326">
        <v>31.47</v>
      </c>
      <c r="H326">
        <v>0.24199999999999999</v>
      </c>
      <c r="I326">
        <v>0</v>
      </c>
      <c r="J326">
        <v>51.51</v>
      </c>
      <c r="K326" t="b">
        <v>0</v>
      </c>
      <c r="L326">
        <v>0</v>
      </c>
      <c r="M326" t="s">
        <v>35</v>
      </c>
      <c r="N326">
        <v>10</v>
      </c>
      <c r="O326">
        <v>2</v>
      </c>
      <c r="P326">
        <v>2</v>
      </c>
      <c r="Q326" t="b">
        <v>0</v>
      </c>
      <c r="R326">
        <v>0</v>
      </c>
      <c r="S326">
        <v>6.8493150684931496</v>
      </c>
      <c r="T326" t="s">
        <v>28</v>
      </c>
      <c r="U326">
        <v>1</v>
      </c>
      <c r="V326">
        <v>4</v>
      </c>
      <c r="W326">
        <v>2</v>
      </c>
    </row>
    <row r="327" spans="1:23">
      <c r="A327" s="1">
        <v>45756</v>
      </c>
      <c r="B327" t="s">
        <v>105</v>
      </c>
      <c r="C327" t="s">
        <v>65</v>
      </c>
      <c r="D327" t="s">
        <v>30</v>
      </c>
      <c r="E327" t="s">
        <v>34</v>
      </c>
      <c r="F327">
        <v>521</v>
      </c>
      <c r="G327">
        <v>21.91</v>
      </c>
      <c r="H327">
        <v>0.45100000000000001</v>
      </c>
      <c r="I327">
        <v>82</v>
      </c>
      <c r="J327">
        <v>67.23</v>
      </c>
      <c r="K327" t="b">
        <v>0</v>
      </c>
      <c r="L327">
        <v>0</v>
      </c>
      <c r="M327" t="s">
        <v>35</v>
      </c>
      <c r="N327">
        <v>5</v>
      </c>
      <c r="O327">
        <v>3</v>
      </c>
      <c r="P327">
        <v>121</v>
      </c>
      <c r="Q327" t="b">
        <v>0</v>
      </c>
      <c r="R327">
        <v>0</v>
      </c>
      <c r="S327">
        <v>232.24568138195701</v>
      </c>
      <c r="T327" t="s">
        <v>28</v>
      </c>
      <c r="U327">
        <v>0</v>
      </c>
      <c r="V327">
        <v>4</v>
      </c>
      <c r="W327">
        <v>2</v>
      </c>
    </row>
    <row r="328" spans="1:23">
      <c r="A328" s="1">
        <v>45756</v>
      </c>
      <c r="B328" t="s">
        <v>105</v>
      </c>
      <c r="C328" t="s">
        <v>66</v>
      </c>
      <c r="D328" t="s">
        <v>33</v>
      </c>
      <c r="E328" t="s">
        <v>38</v>
      </c>
      <c r="F328">
        <v>80</v>
      </c>
      <c r="G328">
        <v>36.46</v>
      </c>
      <c r="H328">
        <v>0.33600000000000002</v>
      </c>
      <c r="I328">
        <v>192</v>
      </c>
      <c r="J328">
        <v>77.19</v>
      </c>
      <c r="K328" t="b">
        <v>0</v>
      </c>
      <c r="L328">
        <v>2</v>
      </c>
      <c r="M328" t="s">
        <v>27</v>
      </c>
      <c r="N328">
        <v>22</v>
      </c>
      <c r="O328">
        <v>2</v>
      </c>
      <c r="P328">
        <v>278</v>
      </c>
      <c r="Q328" t="b">
        <v>0</v>
      </c>
      <c r="R328">
        <v>25</v>
      </c>
      <c r="S328">
        <v>3475</v>
      </c>
      <c r="T328" t="s">
        <v>28</v>
      </c>
      <c r="U328">
        <v>0</v>
      </c>
      <c r="V328">
        <v>4</v>
      </c>
      <c r="W328">
        <v>2</v>
      </c>
    </row>
    <row r="329" spans="1:23">
      <c r="A329" s="1">
        <v>45756</v>
      </c>
      <c r="B329" t="s">
        <v>105</v>
      </c>
      <c r="C329" t="s">
        <v>67</v>
      </c>
      <c r="D329" t="s">
        <v>37</v>
      </c>
      <c r="E329" t="s">
        <v>47</v>
      </c>
      <c r="F329">
        <v>166</v>
      </c>
      <c r="G329">
        <v>14.01</v>
      </c>
      <c r="H329">
        <v>0.78100000000000003</v>
      </c>
      <c r="I329">
        <v>131</v>
      </c>
      <c r="J329">
        <v>65.319999999999993</v>
      </c>
      <c r="K329" t="b">
        <v>0</v>
      </c>
      <c r="L329">
        <v>0</v>
      </c>
      <c r="M329" t="s">
        <v>35</v>
      </c>
      <c r="N329">
        <v>15</v>
      </c>
      <c r="O329">
        <v>1</v>
      </c>
      <c r="P329">
        <v>196</v>
      </c>
      <c r="Q329" t="b">
        <v>0</v>
      </c>
      <c r="R329">
        <v>0</v>
      </c>
      <c r="S329">
        <v>1180.7228915662599</v>
      </c>
      <c r="T329" t="s">
        <v>27</v>
      </c>
      <c r="U329">
        <v>0</v>
      </c>
      <c r="V329">
        <v>4</v>
      </c>
      <c r="W329">
        <v>2</v>
      </c>
    </row>
    <row r="330" spans="1:23">
      <c r="A330" s="1">
        <v>45756</v>
      </c>
      <c r="B330" t="s">
        <v>105</v>
      </c>
      <c r="C330" t="s">
        <v>68</v>
      </c>
      <c r="D330" t="s">
        <v>41</v>
      </c>
      <c r="E330" t="s">
        <v>34</v>
      </c>
      <c r="F330">
        <v>391</v>
      </c>
      <c r="G330">
        <v>26.2</v>
      </c>
      <c r="H330">
        <v>0.45900000000000002</v>
      </c>
      <c r="I330">
        <v>58</v>
      </c>
      <c r="J330">
        <v>88.48</v>
      </c>
      <c r="K330" t="b">
        <v>0</v>
      </c>
      <c r="L330">
        <v>1</v>
      </c>
      <c r="M330" t="s">
        <v>27</v>
      </c>
      <c r="N330">
        <v>11</v>
      </c>
      <c r="O330">
        <v>11</v>
      </c>
      <c r="P330">
        <v>59</v>
      </c>
      <c r="Q330" t="b">
        <v>0</v>
      </c>
      <c r="R330">
        <v>2.5575447570332401</v>
      </c>
      <c r="S330">
        <v>150.89514066496099</v>
      </c>
      <c r="T330" t="s">
        <v>28</v>
      </c>
      <c r="U330">
        <v>0</v>
      </c>
      <c r="V330">
        <v>4</v>
      </c>
      <c r="W330">
        <v>2</v>
      </c>
    </row>
    <row r="331" spans="1:23">
      <c r="A331" s="1">
        <v>45756</v>
      </c>
      <c r="B331" t="s">
        <v>105</v>
      </c>
      <c r="C331" t="s">
        <v>69</v>
      </c>
      <c r="D331" t="s">
        <v>43</v>
      </c>
      <c r="E331" t="s">
        <v>38</v>
      </c>
      <c r="F331">
        <v>432</v>
      </c>
      <c r="G331">
        <v>44.98</v>
      </c>
      <c r="H331">
        <v>0.67900000000000005</v>
      </c>
      <c r="I331">
        <v>153</v>
      </c>
      <c r="J331">
        <v>71.16</v>
      </c>
      <c r="K331" t="b">
        <v>0</v>
      </c>
      <c r="L331">
        <v>2</v>
      </c>
      <c r="M331" t="s">
        <v>44</v>
      </c>
      <c r="N331">
        <v>27</v>
      </c>
      <c r="O331">
        <v>7</v>
      </c>
      <c r="P331">
        <v>212</v>
      </c>
      <c r="Q331" t="b">
        <v>0</v>
      </c>
      <c r="R331">
        <v>4.6296296296296298</v>
      </c>
      <c r="S331">
        <v>490.74074074074002</v>
      </c>
      <c r="T331" t="s">
        <v>39</v>
      </c>
      <c r="U331">
        <v>0</v>
      </c>
      <c r="V331">
        <v>4</v>
      </c>
      <c r="W331">
        <v>2</v>
      </c>
    </row>
    <row r="332" spans="1:23">
      <c r="A332" s="1">
        <v>45756</v>
      </c>
      <c r="B332" t="s">
        <v>105</v>
      </c>
      <c r="C332" t="s">
        <v>70</v>
      </c>
      <c r="D332" t="s">
        <v>25</v>
      </c>
      <c r="E332" t="s">
        <v>47</v>
      </c>
      <c r="F332">
        <v>246</v>
      </c>
      <c r="G332">
        <v>25.77</v>
      </c>
      <c r="H332">
        <v>0.68899999999999995</v>
      </c>
      <c r="I332">
        <v>127</v>
      </c>
      <c r="J332">
        <v>92.17</v>
      </c>
      <c r="K332" t="b">
        <v>0</v>
      </c>
      <c r="L332">
        <v>2</v>
      </c>
      <c r="M332" t="s">
        <v>39</v>
      </c>
      <c r="N332">
        <v>12</v>
      </c>
      <c r="O332">
        <v>8</v>
      </c>
      <c r="P332">
        <v>171</v>
      </c>
      <c r="Q332" t="b">
        <v>0</v>
      </c>
      <c r="R332">
        <v>8.130081300813</v>
      </c>
      <c r="S332">
        <v>695.12195121951197</v>
      </c>
      <c r="T332" t="s">
        <v>28</v>
      </c>
      <c r="U332">
        <v>0</v>
      </c>
      <c r="V332">
        <v>4</v>
      </c>
      <c r="W332">
        <v>2</v>
      </c>
    </row>
    <row r="333" spans="1:23">
      <c r="A333" s="1">
        <v>45756</v>
      </c>
      <c r="B333" t="s">
        <v>105</v>
      </c>
      <c r="C333" t="s">
        <v>71</v>
      </c>
      <c r="D333" t="s">
        <v>30</v>
      </c>
      <c r="E333" t="s">
        <v>26</v>
      </c>
      <c r="F333">
        <v>116</v>
      </c>
      <c r="G333">
        <v>47.3</v>
      </c>
      <c r="H333">
        <v>0.79</v>
      </c>
      <c r="I333">
        <v>36</v>
      </c>
      <c r="J333">
        <v>63.61</v>
      </c>
      <c r="K333" t="b">
        <v>0</v>
      </c>
      <c r="L333">
        <v>1</v>
      </c>
      <c r="M333" t="s">
        <v>28</v>
      </c>
      <c r="N333">
        <v>8</v>
      </c>
      <c r="O333">
        <v>10</v>
      </c>
      <c r="P333">
        <v>82</v>
      </c>
      <c r="Q333" t="b">
        <v>0</v>
      </c>
      <c r="R333">
        <v>8.6206896551724093</v>
      </c>
      <c r="S333">
        <v>706.896551724137</v>
      </c>
      <c r="T333" t="s">
        <v>39</v>
      </c>
      <c r="U333">
        <v>0</v>
      </c>
      <c r="V333">
        <v>4</v>
      </c>
      <c r="W333">
        <v>2</v>
      </c>
    </row>
    <row r="334" spans="1:23">
      <c r="A334" s="1">
        <v>45756</v>
      </c>
      <c r="B334" t="s">
        <v>105</v>
      </c>
      <c r="C334" t="s">
        <v>72</v>
      </c>
      <c r="D334" t="s">
        <v>33</v>
      </c>
      <c r="E334" t="s">
        <v>38</v>
      </c>
      <c r="F334">
        <v>128</v>
      </c>
      <c r="G334">
        <v>46.73</v>
      </c>
      <c r="H334">
        <v>7.4999999999999997E-2</v>
      </c>
      <c r="I334">
        <v>81</v>
      </c>
      <c r="J334">
        <v>100</v>
      </c>
      <c r="K334" t="b">
        <v>0</v>
      </c>
      <c r="L334">
        <v>1</v>
      </c>
      <c r="M334" t="s">
        <v>27</v>
      </c>
      <c r="N334">
        <v>17</v>
      </c>
      <c r="O334">
        <v>1</v>
      </c>
      <c r="P334">
        <v>95</v>
      </c>
      <c r="Q334" t="b">
        <v>0</v>
      </c>
      <c r="R334">
        <v>7.8125</v>
      </c>
      <c r="S334">
        <v>742.1875</v>
      </c>
      <c r="T334" t="s">
        <v>39</v>
      </c>
      <c r="U334">
        <v>0</v>
      </c>
      <c r="V334">
        <v>4</v>
      </c>
      <c r="W334">
        <v>2</v>
      </c>
    </row>
    <row r="335" spans="1:23">
      <c r="A335" s="1">
        <v>45756</v>
      </c>
      <c r="B335" t="s">
        <v>105</v>
      </c>
      <c r="C335" t="s">
        <v>73</v>
      </c>
      <c r="D335" t="s">
        <v>37</v>
      </c>
      <c r="E335" t="s">
        <v>47</v>
      </c>
      <c r="F335">
        <v>132</v>
      </c>
      <c r="G335">
        <v>5.23</v>
      </c>
      <c r="H335">
        <v>0.70699999999999996</v>
      </c>
      <c r="I335">
        <v>112</v>
      </c>
      <c r="J335">
        <v>47.47</v>
      </c>
      <c r="K335" t="b">
        <v>0</v>
      </c>
      <c r="L335">
        <v>1</v>
      </c>
      <c r="M335" t="s">
        <v>27</v>
      </c>
      <c r="N335">
        <v>11</v>
      </c>
      <c r="O335">
        <v>4</v>
      </c>
      <c r="P335">
        <v>132</v>
      </c>
      <c r="Q335" t="b">
        <v>0</v>
      </c>
      <c r="R335">
        <v>7.5757575757575699</v>
      </c>
      <c r="S335">
        <v>1000</v>
      </c>
      <c r="T335" t="s">
        <v>27</v>
      </c>
      <c r="U335">
        <v>1</v>
      </c>
      <c r="V335">
        <v>4</v>
      </c>
      <c r="W335">
        <v>2</v>
      </c>
    </row>
    <row r="336" spans="1:23">
      <c r="A336" s="1">
        <v>45756</v>
      </c>
      <c r="B336" t="s">
        <v>105</v>
      </c>
      <c r="C336" t="s">
        <v>74</v>
      </c>
      <c r="D336" t="s">
        <v>41</v>
      </c>
      <c r="E336" t="s">
        <v>26</v>
      </c>
      <c r="F336">
        <v>225</v>
      </c>
      <c r="G336">
        <v>37.950000000000003</v>
      </c>
      <c r="H336">
        <v>0.71299999999999997</v>
      </c>
      <c r="I336">
        <v>144</v>
      </c>
      <c r="J336">
        <v>76.900000000000006</v>
      </c>
      <c r="K336" t="b">
        <v>0</v>
      </c>
      <c r="L336">
        <v>3</v>
      </c>
      <c r="M336" t="s">
        <v>27</v>
      </c>
      <c r="N336">
        <v>23</v>
      </c>
      <c r="O336">
        <v>1</v>
      </c>
      <c r="P336">
        <v>239</v>
      </c>
      <c r="Q336" t="b">
        <v>0</v>
      </c>
      <c r="R336">
        <v>13.3333333333333</v>
      </c>
      <c r="S336">
        <v>1062.2222222222199</v>
      </c>
      <c r="T336" t="s">
        <v>28</v>
      </c>
      <c r="U336">
        <v>0</v>
      </c>
      <c r="V336">
        <v>4</v>
      </c>
      <c r="W336">
        <v>2</v>
      </c>
    </row>
    <row r="337" spans="1:23">
      <c r="A337" s="1">
        <v>45756</v>
      </c>
      <c r="B337" t="s">
        <v>105</v>
      </c>
      <c r="C337" t="s">
        <v>75</v>
      </c>
      <c r="D337" t="s">
        <v>43</v>
      </c>
      <c r="E337" t="s">
        <v>31</v>
      </c>
      <c r="F337">
        <v>262</v>
      </c>
      <c r="G337">
        <v>41.7</v>
      </c>
      <c r="H337">
        <v>0.56499999999999995</v>
      </c>
      <c r="I337">
        <v>179</v>
      </c>
      <c r="J337">
        <v>58.11</v>
      </c>
      <c r="K337" t="b">
        <v>0</v>
      </c>
      <c r="L337">
        <v>1</v>
      </c>
      <c r="M337" t="s">
        <v>28</v>
      </c>
      <c r="N337">
        <v>25</v>
      </c>
      <c r="O337">
        <v>3</v>
      </c>
      <c r="P337">
        <v>275</v>
      </c>
      <c r="Q337" t="b">
        <v>0</v>
      </c>
      <c r="R337">
        <v>3.8167938931297698</v>
      </c>
      <c r="S337">
        <v>1049.61832061068</v>
      </c>
      <c r="T337" t="s">
        <v>39</v>
      </c>
      <c r="U337">
        <v>1</v>
      </c>
      <c r="V337">
        <v>4</v>
      </c>
      <c r="W337">
        <v>2</v>
      </c>
    </row>
    <row r="338" spans="1:23">
      <c r="A338" s="1">
        <v>45756</v>
      </c>
      <c r="B338" t="s">
        <v>105</v>
      </c>
      <c r="C338" t="s">
        <v>76</v>
      </c>
      <c r="D338" t="s">
        <v>25</v>
      </c>
      <c r="E338" t="s">
        <v>47</v>
      </c>
      <c r="F338">
        <v>220</v>
      </c>
      <c r="G338">
        <v>24.13</v>
      </c>
      <c r="H338">
        <v>0.159</v>
      </c>
      <c r="I338">
        <v>4</v>
      </c>
      <c r="J338">
        <v>33.22</v>
      </c>
      <c r="K338" t="b">
        <v>0</v>
      </c>
      <c r="L338">
        <v>1</v>
      </c>
      <c r="M338" t="s">
        <v>28</v>
      </c>
      <c r="N338">
        <v>8</v>
      </c>
      <c r="O338">
        <v>1</v>
      </c>
      <c r="P338">
        <v>1</v>
      </c>
      <c r="Q338" t="b">
        <v>0</v>
      </c>
      <c r="R338">
        <v>4.5454545454545396</v>
      </c>
      <c r="S338">
        <v>4.5454545454545396</v>
      </c>
      <c r="T338" t="s">
        <v>28</v>
      </c>
      <c r="U338">
        <v>1</v>
      </c>
      <c r="V338">
        <v>4</v>
      </c>
      <c r="W338">
        <v>2</v>
      </c>
    </row>
    <row r="339" spans="1:23">
      <c r="A339" s="1">
        <v>45756</v>
      </c>
      <c r="B339" t="s">
        <v>105</v>
      </c>
      <c r="C339" t="s">
        <v>77</v>
      </c>
      <c r="D339" t="s">
        <v>30</v>
      </c>
      <c r="E339" t="s">
        <v>26</v>
      </c>
      <c r="F339">
        <v>217</v>
      </c>
      <c r="G339">
        <v>30.14</v>
      </c>
      <c r="H339">
        <v>0.12</v>
      </c>
      <c r="I339">
        <v>73</v>
      </c>
      <c r="J339">
        <v>37.97</v>
      </c>
      <c r="K339" t="b">
        <v>0</v>
      </c>
      <c r="L339">
        <v>0</v>
      </c>
      <c r="M339" t="s">
        <v>35</v>
      </c>
      <c r="N339">
        <v>16</v>
      </c>
      <c r="O339">
        <v>7</v>
      </c>
      <c r="P339">
        <v>95</v>
      </c>
      <c r="Q339" t="b">
        <v>0</v>
      </c>
      <c r="R339">
        <v>0</v>
      </c>
      <c r="S339">
        <v>437.78801843317899</v>
      </c>
      <c r="T339" t="s">
        <v>28</v>
      </c>
      <c r="U339">
        <v>1</v>
      </c>
      <c r="V339">
        <v>4</v>
      </c>
      <c r="W339">
        <v>2</v>
      </c>
    </row>
    <row r="340" spans="1:23">
      <c r="A340" s="1">
        <v>45756</v>
      </c>
      <c r="B340" t="s">
        <v>105</v>
      </c>
      <c r="C340" t="s">
        <v>78</v>
      </c>
      <c r="D340" t="s">
        <v>33</v>
      </c>
      <c r="E340" t="s">
        <v>31</v>
      </c>
      <c r="F340">
        <v>243</v>
      </c>
      <c r="G340">
        <v>30.63</v>
      </c>
      <c r="H340">
        <v>0.55200000000000005</v>
      </c>
      <c r="I340">
        <v>93</v>
      </c>
      <c r="J340">
        <v>77.53</v>
      </c>
      <c r="K340" t="b">
        <v>0</v>
      </c>
      <c r="L340">
        <v>1</v>
      </c>
      <c r="M340" t="s">
        <v>27</v>
      </c>
      <c r="N340">
        <v>10</v>
      </c>
      <c r="O340">
        <v>8</v>
      </c>
      <c r="P340">
        <v>114</v>
      </c>
      <c r="Q340" t="b">
        <v>0</v>
      </c>
      <c r="R340">
        <v>4.1152263374485596</v>
      </c>
      <c r="S340">
        <v>469.135802469135</v>
      </c>
      <c r="T340" t="s">
        <v>28</v>
      </c>
      <c r="U340">
        <v>0</v>
      </c>
      <c r="V340">
        <v>4</v>
      </c>
      <c r="W340">
        <v>2</v>
      </c>
    </row>
    <row r="341" spans="1:23">
      <c r="A341" s="1">
        <v>45756</v>
      </c>
      <c r="B341" t="s">
        <v>105</v>
      </c>
      <c r="C341" t="s">
        <v>79</v>
      </c>
      <c r="D341" t="s">
        <v>37</v>
      </c>
      <c r="E341" t="s">
        <v>34</v>
      </c>
      <c r="F341">
        <v>129</v>
      </c>
      <c r="G341">
        <v>28.08</v>
      </c>
      <c r="H341">
        <v>0.55900000000000005</v>
      </c>
      <c r="I341">
        <v>0</v>
      </c>
      <c r="J341">
        <v>88.87</v>
      </c>
      <c r="K341" t="b">
        <v>0</v>
      </c>
      <c r="L341">
        <v>0</v>
      </c>
      <c r="M341" t="s">
        <v>35</v>
      </c>
      <c r="N341">
        <v>6</v>
      </c>
      <c r="O341">
        <v>1</v>
      </c>
      <c r="P341">
        <v>1</v>
      </c>
      <c r="Q341" t="b">
        <v>0</v>
      </c>
      <c r="R341">
        <v>0</v>
      </c>
      <c r="S341">
        <v>7.75193798449612</v>
      </c>
      <c r="T341" t="s">
        <v>28</v>
      </c>
      <c r="U341">
        <v>0</v>
      </c>
      <c r="V341">
        <v>4</v>
      </c>
      <c r="W341">
        <v>2</v>
      </c>
    </row>
    <row r="342" spans="1:23">
      <c r="A342" s="1">
        <v>45756</v>
      </c>
      <c r="B342" t="s">
        <v>105</v>
      </c>
      <c r="C342" t="s">
        <v>80</v>
      </c>
      <c r="D342" t="s">
        <v>41</v>
      </c>
      <c r="E342" t="s">
        <v>26</v>
      </c>
      <c r="F342">
        <v>203</v>
      </c>
      <c r="G342">
        <v>23.24</v>
      </c>
      <c r="H342">
        <v>0.69599999999999995</v>
      </c>
      <c r="I342">
        <v>156</v>
      </c>
      <c r="J342">
        <v>97.05</v>
      </c>
      <c r="K342" t="b">
        <v>0</v>
      </c>
      <c r="L342">
        <v>0</v>
      </c>
      <c r="M342" t="s">
        <v>35</v>
      </c>
      <c r="N342">
        <v>11</v>
      </c>
      <c r="O342">
        <v>5</v>
      </c>
      <c r="P342">
        <v>218</v>
      </c>
      <c r="Q342" t="b">
        <v>0</v>
      </c>
      <c r="R342">
        <v>0</v>
      </c>
      <c r="S342">
        <v>1073.8916256157599</v>
      </c>
      <c r="T342" t="s">
        <v>28</v>
      </c>
      <c r="U342">
        <v>0</v>
      </c>
      <c r="V342">
        <v>4</v>
      </c>
      <c r="W342">
        <v>2</v>
      </c>
    </row>
    <row r="343" spans="1:23">
      <c r="A343" s="1">
        <v>45756</v>
      </c>
      <c r="B343" t="s">
        <v>105</v>
      </c>
      <c r="C343" t="s">
        <v>81</v>
      </c>
      <c r="D343" t="s">
        <v>43</v>
      </c>
      <c r="E343" t="s">
        <v>31</v>
      </c>
      <c r="F343">
        <v>80</v>
      </c>
      <c r="G343">
        <v>50.21</v>
      </c>
      <c r="H343">
        <v>0.80900000000000005</v>
      </c>
      <c r="I343">
        <v>68</v>
      </c>
      <c r="J343">
        <v>77.08</v>
      </c>
      <c r="K343" t="b">
        <v>0</v>
      </c>
      <c r="L343">
        <v>1</v>
      </c>
      <c r="M343" t="s">
        <v>39</v>
      </c>
      <c r="N343">
        <v>7</v>
      </c>
      <c r="O343">
        <v>1</v>
      </c>
      <c r="P343">
        <v>112</v>
      </c>
      <c r="Q343" t="b">
        <v>0</v>
      </c>
      <c r="R343">
        <v>12.5</v>
      </c>
      <c r="S343">
        <v>1400</v>
      </c>
      <c r="T343" t="s">
        <v>39</v>
      </c>
      <c r="U343">
        <v>0</v>
      </c>
      <c r="V343">
        <v>4</v>
      </c>
      <c r="W343">
        <v>2</v>
      </c>
    </row>
    <row r="344" spans="1:23">
      <c r="A344" s="1">
        <v>45756</v>
      </c>
      <c r="B344" t="s">
        <v>105</v>
      </c>
      <c r="C344" t="s">
        <v>82</v>
      </c>
      <c r="D344" t="s">
        <v>25</v>
      </c>
      <c r="E344" t="s">
        <v>34</v>
      </c>
      <c r="F344">
        <v>125</v>
      </c>
      <c r="G344">
        <v>32.200000000000003</v>
      </c>
      <c r="H344">
        <v>0.35799999999999998</v>
      </c>
      <c r="I344">
        <v>244</v>
      </c>
      <c r="J344">
        <v>95.44</v>
      </c>
      <c r="K344" t="b">
        <v>0</v>
      </c>
      <c r="L344">
        <v>0</v>
      </c>
      <c r="M344" t="s">
        <v>35</v>
      </c>
      <c r="N344">
        <v>26</v>
      </c>
      <c r="O344">
        <v>7</v>
      </c>
      <c r="P344">
        <v>270</v>
      </c>
      <c r="Q344" t="b">
        <v>0</v>
      </c>
      <c r="R344">
        <v>0</v>
      </c>
      <c r="S344">
        <v>2160</v>
      </c>
      <c r="T344" t="s">
        <v>28</v>
      </c>
      <c r="U344">
        <v>0</v>
      </c>
      <c r="V344">
        <v>4</v>
      </c>
      <c r="W344">
        <v>2</v>
      </c>
    </row>
    <row r="345" spans="1:23">
      <c r="A345" s="1">
        <v>45756</v>
      </c>
      <c r="B345" t="s">
        <v>105</v>
      </c>
      <c r="C345" t="s">
        <v>83</v>
      </c>
      <c r="D345" t="s">
        <v>30</v>
      </c>
      <c r="E345" t="s">
        <v>38</v>
      </c>
      <c r="F345">
        <v>304</v>
      </c>
      <c r="G345">
        <v>51.8</v>
      </c>
      <c r="H345">
        <v>0.65300000000000002</v>
      </c>
      <c r="I345">
        <v>183</v>
      </c>
      <c r="J345">
        <v>100</v>
      </c>
      <c r="K345" t="b">
        <v>0</v>
      </c>
      <c r="L345">
        <v>0</v>
      </c>
      <c r="M345" t="s">
        <v>35</v>
      </c>
      <c r="N345">
        <v>18</v>
      </c>
      <c r="O345">
        <v>6</v>
      </c>
      <c r="P345">
        <v>259</v>
      </c>
      <c r="Q345" t="b">
        <v>0</v>
      </c>
      <c r="R345">
        <v>0</v>
      </c>
      <c r="S345">
        <v>851.97368421052602</v>
      </c>
      <c r="T345" t="s">
        <v>39</v>
      </c>
      <c r="U345">
        <v>0</v>
      </c>
      <c r="V345">
        <v>4</v>
      </c>
      <c r="W345">
        <v>2</v>
      </c>
    </row>
    <row r="346" spans="1:23">
      <c r="A346" s="1">
        <v>45756</v>
      </c>
      <c r="B346" t="s">
        <v>105</v>
      </c>
      <c r="C346" t="s">
        <v>84</v>
      </c>
      <c r="D346" t="s">
        <v>33</v>
      </c>
      <c r="E346" t="s">
        <v>31</v>
      </c>
      <c r="F346">
        <v>261</v>
      </c>
      <c r="G346">
        <v>15.06</v>
      </c>
      <c r="H346">
        <v>0.38100000000000001</v>
      </c>
      <c r="I346">
        <v>77</v>
      </c>
      <c r="J346">
        <v>70.069999999999993</v>
      </c>
      <c r="K346" t="b">
        <v>0</v>
      </c>
      <c r="L346">
        <v>0</v>
      </c>
      <c r="M346" t="s">
        <v>35</v>
      </c>
      <c r="N346">
        <v>11</v>
      </c>
      <c r="O346">
        <v>5</v>
      </c>
      <c r="P346">
        <v>122</v>
      </c>
      <c r="Q346" t="b">
        <v>0</v>
      </c>
      <c r="R346">
        <v>0</v>
      </c>
      <c r="S346">
        <v>467.43295019157</v>
      </c>
      <c r="T346" t="s">
        <v>27</v>
      </c>
      <c r="U346">
        <v>0</v>
      </c>
      <c r="V346">
        <v>4</v>
      </c>
      <c r="W346">
        <v>2</v>
      </c>
    </row>
    <row r="347" spans="1:23">
      <c r="A347" s="1">
        <v>45756</v>
      </c>
      <c r="B347" t="s">
        <v>105</v>
      </c>
      <c r="C347" t="s">
        <v>86</v>
      </c>
      <c r="D347" t="s">
        <v>37</v>
      </c>
      <c r="E347" t="s">
        <v>34</v>
      </c>
      <c r="F347">
        <v>405</v>
      </c>
      <c r="G347">
        <v>13.35</v>
      </c>
      <c r="H347">
        <v>0.70399999999999996</v>
      </c>
      <c r="I347">
        <v>180</v>
      </c>
      <c r="J347">
        <v>53.46</v>
      </c>
      <c r="K347" t="b">
        <v>0</v>
      </c>
      <c r="L347">
        <v>0</v>
      </c>
      <c r="M347" t="s">
        <v>35</v>
      </c>
      <c r="N347">
        <v>13</v>
      </c>
      <c r="O347">
        <v>5</v>
      </c>
      <c r="P347">
        <v>337</v>
      </c>
      <c r="Q347" t="b">
        <v>0</v>
      </c>
      <c r="R347">
        <v>0</v>
      </c>
      <c r="S347">
        <v>832.09876543209805</v>
      </c>
      <c r="T347" t="s">
        <v>27</v>
      </c>
      <c r="U347">
        <v>1</v>
      </c>
      <c r="V347">
        <v>4</v>
      </c>
      <c r="W347">
        <v>2</v>
      </c>
    </row>
    <row r="348" spans="1:23">
      <c r="A348" s="1">
        <v>45756</v>
      </c>
      <c r="B348" t="s">
        <v>105</v>
      </c>
      <c r="C348" t="s">
        <v>87</v>
      </c>
      <c r="D348" t="s">
        <v>41</v>
      </c>
      <c r="E348" t="s">
        <v>38</v>
      </c>
      <c r="F348">
        <v>83</v>
      </c>
      <c r="G348">
        <v>42.5</v>
      </c>
      <c r="H348">
        <v>0.38800000000000001</v>
      </c>
      <c r="I348">
        <v>142</v>
      </c>
      <c r="J348">
        <v>71.19</v>
      </c>
      <c r="K348" t="b">
        <v>0</v>
      </c>
      <c r="L348">
        <v>1</v>
      </c>
      <c r="M348" t="s">
        <v>28</v>
      </c>
      <c r="N348">
        <v>12</v>
      </c>
      <c r="O348">
        <v>7</v>
      </c>
      <c r="P348">
        <v>194</v>
      </c>
      <c r="Q348" t="b">
        <v>0</v>
      </c>
      <c r="R348">
        <v>12.048192771084301</v>
      </c>
      <c r="S348">
        <v>2337.3493975903598</v>
      </c>
      <c r="T348" t="s">
        <v>39</v>
      </c>
      <c r="U348">
        <v>0</v>
      </c>
      <c r="V348">
        <v>4</v>
      </c>
      <c r="W348">
        <v>2</v>
      </c>
    </row>
    <row r="349" spans="1:23">
      <c r="A349" s="1">
        <v>45756</v>
      </c>
      <c r="B349" t="s">
        <v>105</v>
      </c>
      <c r="C349" t="s">
        <v>88</v>
      </c>
      <c r="D349" t="s">
        <v>43</v>
      </c>
      <c r="E349" t="s">
        <v>47</v>
      </c>
      <c r="F349">
        <v>306</v>
      </c>
      <c r="G349">
        <v>40.4</v>
      </c>
      <c r="H349">
        <v>0.58699999999999997</v>
      </c>
      <c r="I349">
        <v>75</v>
      </c>
      <c r="J349">
        <v>42.84</v>
      </c>
      <c r="K349" t="b">
        <v>0</v>
      </c>
      <c r="L349">
        <v>4</v>
      </c>
      <c r="M349" t="s">
        <v>27</v>
      </c>
      <c r="N349">
        <v>9</v>
      </c>
      <c r="O349">
        <v>5</v>
      </c>
      <c r="P349">
        <v>162</v>
      </c>
      <c r="Q349" t="b">
        <v>0</v>
      </c>
      <c r="R349">
        <v>13.071895424836599</v>
      </c>
      <c r="S349">
        <v>529.41176470588198</v>
      </c>
      <c r="T349" t="s">
        <v>39</v>
      </c>
      <c r="U349">
        <v>1</v>
      </c>
      <c r="V349">
        <v>4</v>
      </c>
      <c r="W349">
        <v>2</v>
      </c>
    </row>
    <row r="350" spans="1:23">
      <c r="A350" s="1">
        <v>45756</v>
      </c>
      <c r="B350" t="s">
        <v>105</v>
      </c>
      <c r="C350" t="s">
        <v>89</v>
      </c>
      <c r="D350" t="s">
        <v>25</v>
      </c>
      <c r="E350" t="s">
        <v>34</v>
      </c>
      <c r="F350">
        <v>112</v>
      </c>
      <c r="G350">
        <v>18.2</v>
      </c>
      <c r="H350">
        <v>0.68500000000000005</v>
      </c>
      <c r="I350">
        <v>204</v>
      </c>
      <c r="J350">
        <v>35.99</v>
      </c>
      <c r="K350" t="b">
        <v>0</v>
      </c>
      <c r="L350">
        <v>1</v>
      </c>
      <c r="M350" t="s">
        <v>28</v>
      </c>
      <c r="N350">
        <v>12</v>
      </c>
      <c r="O350">
        <v>1</v>
      </c>
      <c r="P350">
        <v>277</v>
      </c>
      <c r="Q350" t="b">
        <v>0</v>
      </c>
      <c r="R350">
        <v>8.9285714285714199</v>
      </c>
      <c r="S350">
        <v>2473.2142857142799</v>
      </c>
      <c r="T350" t="s">
        <v>27</v>
      </c>
      <c r="U350">
        <v>1</v>
      </c>
      <c r="V350">
        <v>4</v>
      </c>
      <c r="W350">
        <v>2</v>
      </c>
    </row>
    <row r="351" spans="1:23">
      <c r="A351" s="1">
        <v>45756</v>
      </c>
      <c r="B351" t="s">
        <v>105</v>
      </c>
      <c r="C351" t="s">
        <v>90</v>
      </c>
      <c r="D351" t="s">
        <v>30</v>
      </c>
      <c r="E351" t="s">
        <v>38</v>
      </c>
      <c r="F351">
        <v>291</v>
      </c>
      <c r="G351">
        <v>37.82</v>
      </c>
      <c r="H351">
        <v>0.17</v>
      </c>
      <c r="I351">
        <v>134</v>
      </c>
      <c r="J351">
        <v>44.57</v>
      </c>
      <c r="K351" t="b">
        <v>0</v>
      </c>
      <c r="L351">
        <v>0</v>
      </c>
      <c r="M351" t="s">
        <v>35</v>
      </c>
      <c r="N351">
        <v>11</v>
      </c>
      <c r="O351">
        <v>10</v>
      </c>
      <c r="P351">
        <v>205</v>
      </c>
      <c r="Q351" t="b">
        <v>0</v>
      </c>
      <c r="R351">
        <v>0</v>
      </c>
      <c r="S351">
        <v>704.46735395189</v>
      </c>
      <c r="T351" t="s">
        <v>28</v>
      </c>
      <c r="U351">
        <v>1</v>
      </c>
      <c r="V351">
        <v>4</v>
      </c>
      <c r="W351">
        <v>2</v>
      </c>
    </row>
    <row r="352" spans="1:23">
      <c r="A352" s="1">
        <v>45756</v>
      </c>
      <c r="B352" t="s">
        <v>105</v>
      </c>
      <c r="C352" t="s">
        <v>91</v>
      </c>
      <c r="D352" t="s">
        <v>33</v>
      </c>
      <c r="E352" t="s">
        <v>47</v>
      </c>
      <c r="F352">
        <v>80</v>
      </c>
      <c r="G352">
        <v>37.72</v>
      </c>
      <c r="H352">
        <v>0.39800000000000002</v>
      </c>
      <c r="I352">
        <v>207</v>
      </c>
      <c r="J352">
        <v>78.2</v>
      </c>
      <c r="K352" t="b">
        <v>0</v>
      </c>
      <c r="L352">
        <v>0</v>
      </c>
      <c r="M352" t="s">
        <v>35</v>
      </c>
      <c r="N352">
        <v>13</v>
      </c>
      <c r="O352">
        <v>10</v>
      </c>
      <c r="P352">
        <v>307</v>
      </c>
      <c r="Q352" t="b">
        <v>0</v>
      </c>
      <c r="R352">
        <v>0</v>
      </c>
      <c r="S352">
        <v>3837.5</v>
      </c>
      <c r="T352" t="s">
        <v>28</v>
      </c>
      <c r="U352">
        <v>0</v>
      </c>
      <c r="V352">
        <v>4</v>
      </c>
      <c r="W352">
        <v>2</v>
      </c>
    </row>
    <row r="353" spans="1:23">
      <c r="A353" s="1">
        <v>45756</v>
      </c>
      <c r="B353" t="s">
        <v>105</v>
      </c>
      <c r="C353" t="s">
        <v>92</v>
      </c>
      <c r="D353" t="s">
        <v>37</v>
      </c>
      <c r="E353" t="s">
        <v>26</v>
      </c>
      <c r="F353">
        <v>131</v>
      </c>
      <c r="G353">
        <v>52.89</v>
      </c>
      <c r="H353">
        <v>0.52</v>
      </c>
      <c r="I353">
        <v>127</v>
      </c>
      <c r="J353">
        <v>67.290000000000006</v>
      </c>
      <c r="K353" t="b">
        <v>0</v>
      </c>
      <c r="L353">
        <v>3</v>
      </c>
      <c r="M353" t="s">
        <v>27</v>
      </c>
      <c r="N353">
        <v>14</v>
      </c>
      <c r="O353">
        <v>2</v>
      </c>
      <c r="P353">
        <v>216</v>
      </c>
      <c r="Q353" t="b">
        <v>0</v>
      </c>
      <c r="R353">
        <v>22.900763358778601</v>
      </c>
      <c r="S353">
        <v>1648.8549618320601</v>
      </c>
      <c r="T353" t="s">
        <v>39</v>
      </c>
      <c r="U353">
        <v>0</v>
      </c>
      <c r="V353">
        <v>4</v>
      </c>
      <c r="W353">
        <v>2</v>
      </c>
    </row>
    <row r="354" spans="1:23">
      <c r="A354" s="1">
        <v>45756</v>
      </c>
      <c r="B354" t="s">
        <v>105</v>
      </c>
      <c r="C354" t="s">
        <v>93</v>
      </c>
      <c r="D354" t="s">
        <v>41</v>
      </c>
      <c r="E354" t="s">
        <v>38</v>
      </c>
      <c r="F354">
        <v>163</v>
      </c>
      <c r="G354">
        <v>3.29</v>
      </c>
      <c r="H354">
        <v>0.80400000000000005</v>
      </c>
      <c r="I354">
        <v>199</v>
      </c>
      <c r="J354">
        <v>64.790000000000006</v>
      </c>
      <c r="K354" t="b">
        <v>0</v>
      </c>
      <c r="L354">
        <v>1</v>
      </c>
      <c r="M354" t="s">
        <v>27</v>
      </c>
      <c r="N354">
        <v>16</v>
      </c>
      <c r="O354">
        <v>9</v>
      </c>
      <c r="P354">
        <v>363</v>
      </c>
      <c r="Q354" t="b">
        <v>0</v>
      </c>
      <c r="R354">
        <v>6.1349693251533699</v>
      </c>
      <c r="S354">
        <v>2226.9938650306699</v>
      </c>
      <c r="T354" t="s">
        <v>27</v>
      </c>
      <c r="U354">
        <v>0</v>
      </c>
      <c r="V354">
        <v>4</v>
      </c>
      <c r="W354">
        <v>2</v>
      </c>
    </row>
    <row r="355" spans="1:23">
      <c r="A355" s="1">
        <v>45756</v>
      </c>
      <c r="B355" t="s">
        <v>105</v>
      </c>
      <c r="C355" t="s">
        <v>94</v>
      </c>
      <c r="D355" t="s">
        <v>43</v>
      </c>
      <c r="E355" t="s">
        <v>47</v>
      </c>
      <c r="F355">
        <v>80</v>
      </c>
      <c r="G355">
        <v>26.7</v>
      </c>
      <c r="H355">
        <v>0.78600000000000003</v>
      </c>
      <c r="I355">
        <v>82</v>
      </c>
      <c r="J355">
        <v>68.28</v>
      </c>
      <c r="K355" t="b">
        <v>0</v>
      </c>
      <c r="L355">
        <v>1</v>
      </c>
      <c r="M355" t="s">
        <v>27</v>
      </c>
      <c r="N355">
        <v>11</v>
      </c>
      <c r="O355">
        <v>12</v>
      </c>
      <c r="P355">
        <v>151</v>
      </c>
      <c r="Q355" t="b">
        <v>0</v>
      </c>
      <c r="R355">
        <v>12.5</v>
      </c>
      <c r="S355">
        <v>1887.5</v>
      </c>
      <c r="T355" t="s">
        <v>28</v>
      </c>
      <c r="U355">
        <v>0</v>
      </c>
      <c r="V355">
        <v>4</v>
      </c>
      <c r="W355">
        <v>2</v>
      </c>
    </row>
    <row r="356" spans="1:23">
      <c r="A356" s="1">
        <v>45756</v>
      </c>
      <c r="B356" t="s">
        <v>105</v>
      </c>
      <c r="C356" t="s">
        <v>95</v>
      </c>
      <c r="D356" t="s">
        <v>25</v>
      </c>
      <c r="E356" t="s">
        <v>26</v>
      </c>
      <c r="F356">
        <v>112</v>
      </c>
      <c r="G356">
        <v>20.37</v>
      </c>
      <c r="H356">
        <v>0.86899999999999999</v>
      </c>
      <c r="I356">
        <v>39</v>
      </c>
      <c r="J356">
        <v>83.68</v>
      </c>
      <c r="K356" t="b">
        <v>0</v>
      </c>
      <c r="L356">
        <v>0</v>
      </c>
      <c r="M356" t="s">
        <v>35</v>
      </c>
      <c r="N356">
        <v>8</v>
      </c>
      <c r="O356">
        <v>6</v>
      </c>
      <c r="P356">
        <v>88</v>
      </c>
      <c r="Q356" t="b">
        <v>0</v>
      </c>
      <c r="R356">
        <v>0</v>
      </c>
      <c r="S356">
        <v>785.71428571428498</v>
      </c>
      <c r="T356" t="s">
        <v>28</v>
      </c>
      <c r="U356">
        <v>0</v>
      </c>
      <c r="V356">
        <v>4</v>
      </c>
      <c r="W356">
        <v>2</v>
      </c>
    </row>
    <row r="357" spans="1:23">
      <c r="A357" s="1">
        <v>45756</v>
      </c>
      <c r="B357" t="s">
        <v>105</v>
      </c>
      <c r="C357" t="s">
        <v>96</v>
      </c>
      <c r="D357" t="s">
        <v>30</v>
      </c>
      <c r="E357" t="s">
        <v>31</v>
      </c>
      <c r="F357">
        <v>582</v>
      </c>
      <c r="G357">
        <v>16.36</v>
      </c>
      <c r="H357">
        <v>0.19700000000000001</v>
      </c>
      <c r="I357">
        <v>172</v>
      </c>
      <c r="J357">
        <v>100</v>
      </c>
      <c r="K357" t="b">
        <v>0</v>
      </c>
      <c r="L357">
        <v>0</v>
      </c>
      <c r="M357" t="s">
        <v>35</v>
      </c>
      <c r="N357">
        <v>16</v>
      </c>
      <c r="O357">
        <v>4</v>
      </c>
      <c r="P357">
        <v>181</v>
      </c>
      <c r="Q357" t="b">
        <v>0</v>
      </c>
      <c r="R357">
        <v>0</v>
      </c>
      <c r="S357">
        <v>310.99656357388301</v>
      </c>
      <c r="T357" t="s">
        <v>27</v>
      </c>
      <c r="U357">
        <v>0</v>
      </c>
      <c r="V357">
        <v>4</v>
      </c>
      <c r="W357">
        <v>2</v>
      </c>
    </row>
    <row r="358" spans="1:23">
      <c r="A358" s="1">
        <v>45756</v>
      </c>
      <c r="B358" t="s">
        <v>105</v>
      </c>
      <c r="C358" t="s">
        <v>97</v>
      </c>
      <c r="D358" t="s">
        <v>33</v>
      </c>
      <c r="E358" t="s">
        <v>47</v>
      </c>
      <c r="F358">
        <v>351</v>
      </c>
      <c r="G358">
        <v>30.88</v>
      </c>
      <c r="H358">
        <v>0.46200000000000002</v>
      </c>
      <c r="I358">
        <v>49</v>
      </c>
      <c r="J358">
        <v>85.87</v>
      </c>
      <c r="K358" t="b">
        <v>0</v>
      </c>
      <c r="L358">
        <v>1</v>
      </c>
      <c r="M358" t="s">
        <v>27</v>
      </c>
      <c r="N358">
        <v>10</v>
      </c>
      <c r="O358">
        <v>6</v>
      </c>
      <c r="P358">
        <v>27</v>
      </c>
      <c r="Q358" t="b">
        <v>0</v>
      </c>
      <c r="R358">
        <v>2.8490028490028401</v>
      </c>
      <c r="S358">
        <v>76.923076923076906</v>
      </c>
      <c r="T358" t="s">
        <v>28</v>
      </c>
      <c r="U358">
        <v>0</v>
      </c>
      <c r="V358">
        <v>4</v>
      </c>
      <c r="W358">
        <v>2</v>
      </c>
    </row>
    <row r="359" spans="1:23">
      <c r="A359" s="1">
        <v>45756</v>
      </c>
      <c r="B359" t="s">
        <v>105</v>
      </c>
      <c r="C359" t="s">
        <v>98</v>
      </c>
      <c r="D359" t="s">
        <v>37</v>
      </c>
      <c r="E359" t="s">
        <v>26</v>
      </c>
      <c r="F359">
        <v>244</v>
      </c>
      <c r="G359">
        <v>40.44</v>
      </c>
      <c r="H359">
        <v>0.7</v>
      </c>
      <c r="I359">
        <v>39</v>
      </c>
      <c r="J359">
        <v>51.25</v>
      </c>
      <c r="K359" t="b">
        <v>0</v>
      </c>
      <c r="L359">
        <v>4</v>
      </c>
      <c r="M359" t="s">
        <v>27</v>
      </c>
      <c r="N359">
        <v>10</v>
      </c>
      <c r="O359">
        <v>7</v>
      </c>
      <c r="P359">
        <v>76</v>
      </c>
      <c r="Q359" t="b">
        <v>0</v>
      </c>
      <c r="R359">
        <v>16.393442622950801</v>
      </c>
      <c r="S359">
        <v>311.47540983606501</v>
      </c>
      <c r="T359" t="s">
        <v>39</v>
      </c>
      <c r="U359">
        <v>1</v>
      </c>
      <c r="V359">
        <v>4</v>
      </c>
      <c r="W359">
        <v>2</v>
      </c>
    </row>
    <row r="360" spans="1:23">
      <c r="A360" s="1">
        <v>45756</v>
      </c>
      <c r="B360" t="s">
        <v>105</v>
      </c>
      <c r="C360" t="s">
        <v>99</v>
      </c>
      <c r="D360" t="s">
        <v>41</v>
      </c>
      <c r="E360" t="s">
        <v>31</v>
      </c>
      <c r="F360">
        <v>159</v>
      </c>
      <c r="G360">
        <v>48.72</v>
      </c>
      <c r="H360">
        <v>0.182</v>
      </c>
      <c r="I360">
        <v>96</v>
      </c>
      <c r="J360">
        <v>56.23</v>
      </c>
      <c r="K360" t="b">
        <v>0</v>
      </c>
      <c r="L360">
        <v>1</v>
      </c>
      <c r="M360" t="s">
        <v>27</v>
      </c>
      <c r="N360">
        <v>8</v>
      </c>
      <c r="O360">
        <v>5</v>
      </c>
      <c r="P360">
        <v>171</v>
      </c>
      <c r="Q360" t="b">
        <v>0</v>
      </c>
      <c r="R360">
        <v>6.2893081761006204</v>
      </c>
      <c r="S360">
        <v>1075.4716981132001</v>
      </c>
      <c r="T360" t="s">
        <v>39</v>
      </c>
      <c r="U360">
        <v>1</v>
      </c>
      <c r="V360">
        <v>4</v>
      </c>
      <c r="W360">
        <v>2</v>
      </c>
    </row>
    <row r="361" spans="1:23">
      <c r="A361" s="1">
        <v>45756</v>
      </c>
      <c r="B361" t="s">
        <v>105</v>
      </c>
      <c r="C361" t="s">
        <v>100</v>
      </c>
      <c r="D361" t="s">
        <v>43</v>
      </c>
      <c r="E361" t="s">
        <v>34</v>
      </c>
      <c r="F361">
        <v>152</v>
      </c>
      <c r="G361">
        <v>36.36</v>
      </c>
      <c r="H361">
        <v>0.05</v>
      </c>
      <c r="I361">
        <v>189</v>
      </c>
      <c r="J361">
        <v>90.61</v>
      </c>
      <c r="K361" t="b">
        <v>0</v>
      </c>
      <c r="L361">
        <v>0</v>
      </c>
      <c r="M361" t="s">
        <v>35</v>
      </c>
      <c r="N361">
        <v>5</v>
      </c>
      <c r="O361">
        <v>11</v>
      </c>
      <c r="P361">
        <v>288</v>
      </c>
      <c r="Q361" t="b">
        <v>0</v>
      </c>
      <c r="R361">
        <v>0</v>
      </c>
      <c r="S361">
        <v>1894.7368421052599</v>
      </c>
      <c r="T361" t="s">
        <v>28</v>
      </c>
      <c r="U361">
        <v>0</v>
      </c>
      <c r="V361">
        <v>4</v>
      </c>
      <c r="W36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DE2B-404E-4AD8-8A44-6586A54745DA}">
  <dimension ref="A1:B7"/>
  <sheetViews>
    <sheetView workbookViewId="0">
      <selection activeCell="B5" sqref="B5"/>
    </sheetView>
  </sheetViews>
  <sheetFormatPr defaultRowHeight="14.4"/>
  <cols>
    <col min="1" max="1" width="13.77734375" customWidth="1"/>
    <col min="2" max="2" width="22.77734375" customWidth="1"/>
  </cols>
  <sheetData>
    <row r="1" spans="1:2">
      <c r="A1" s="7" t="s">
        <v>109</v>
      </c>
      <c r="B1" s="7" t="s">
        <v>110</v>
      </c>
    </row>
    <row r="2" spans="1:2">
      <c r="A2" t="s">
        <v>111</v>
      </c>
      <c r="B2" s="5">
        <f>CORREL(QualityData[complexity],QualityData[defect_count])</f>
        <v>0.18823024073307931</v>
      </c>
    </row>
    <row r="3" spans="1:2">
      <c r="A3" t="s">
        <v>114</v>
      </c>
      <c r="B3" s="6">
        <f>CORREL(QualityData[churn],QualityData[defect_count])</f>
        <v>0.18849596712734132</v>
      </c>
    </row>
    <row r="4" spans="1:2">
      <c r="A4" t="s">
        <v>113</v>
      </c>
      <c r="B4">
        <f>CORREL(QualityData[test_coverage],QualityData[defect_count])</f>
        <v>-0.26670473458103872</v>
      </c>
    </row>
    <row r="5" spans="1:2">
      <c r="A5" s="8" t="s">
        <v>116</v>
      </c>
      <c r="B5" s="8">
        <f>CORREL(QualityData[contributors],QualityData[defect_count])</f>
        <v>-3.3744339233537125E-2</v>
      </c>
    </row>
    <row r="6" spans="1:2">
      <c r="B6" s="5"/>
    </row>
    <row r="7" spans="1:2">
      <c r="B7" s="6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F3D6-1A94-449C-934B-7905503482A9}">
  <dimension ref="A1:N12"/>
  <sheetViews>
    <sheetView workbookViewId="0">
      <selection activeCell="G1" sqref="G1"/>
    </sheetView>
  </sheetViews>
  <sheetFormatPr defaultRowHeight="14.4"/>
  <cols>
    <col min="1" max="1" width="12.6640625" bestFit="1" customWidth="1"/>
    <col min="2" max="2" width="18" bestFit="1" customWidth="1"/>
    <col min="4" max="4" width="14.77734375" customWidth="1"/>
    <col min="5" max="5" width="24.5546875" customWidth="1"/>
    <col min="7" max="7" width="18" bestFit="1" customWidth="1"/>
    <col min="8" max="8" width="15.5546875" bestFit="1" customWidth="1"/>
    <col min="9" max="13" width="4.44140625" bestFit="1" customWidth="1"/>
    <col min="14" max="14" width="10.5546875" bestFit="1" customWidth="1"/>
  </cols>
  <sheetData>
    <row r="1" spans="1:14">
      <c r="A1" s="2" t="s">
        <v>106</v>
      </c>
      <c r="B1" t="s">
        <v>108</v>
      </c>
      <c r="D1" s="2" t="s">
        <v>106</v>
      </c>
      <c r="E1" t="s">
        <v>112</v>
      </c>
      <c r="G1" s="2" t="s">
        <v>108</v>
      </c>
      <c r="H1" s="2" t="s">
        <v>115</v>
      </c>
    </row>
    <row r="2" spans="1:14">
      <c r="A2" s="3" t="s">
        <v>90</v>
      </c>
      <c r="B2" s="4">
        <v>16</v>
      </c>
      <c r="D2" s="3" t="s">
        <v>25</v>
      </c>
      <c r="E2" s="4">
        <v>61.249333333333325</v>
      </c>
      <c r="G2" s="2" t="s">
        <v>106</v>
      </c>
      <c r="H2" t="s">
        <v>23</v>
      </c>
      <c r="I2" t="s">
        <v>101</v>
      </c>
      <c r="J2" t="s">
        <v>102</v>
      </c>
      <c r="K2" t="s">
        <v>103</v>
      </c>
      <c r="L2" t="s">
        <v>104</v>
      </c>
      <c r="M2" t="s">
        <v>105</v>
      </c>
      <c r="N2" t="s">
        <v>107</v>
      </c>
    </row>
    <row r="3" spans="1:14">
      <c r="A3" s="3" t="s">
        <v>92</v>
      </c>
      <c r="B3" s="4">
        <v>13</v>
      </c>
      <c r="D3" s="3" t="s">
        <v>41</v>
      </c>
      <c r="E3" s="4">
        <v>75.362166666666639</v>
      </c>
      <c r="G3" s="3" t="s">
        <v>25</v>
      </c>
      <c r="H3" s="4">
        <v>10</v>
      </c>
      <c r="I3" s="4">
        <v>11</v>
      </c>
      <c r="J3" s="4">
        <v>5</v>
      </c>
      <c r="K3" s="4">
        <v>7</v>
      </c>
      <c r="L3" s="4">
        <v>7</v>
      </c>
      <c r="M3" s="4">
        <v>14</v>
      </c>
      <c r="N3" s="4">
        <v>54</v>
      </c>
    </row>
    <row r="4" spans="1:14">
      <c r="A4" s="3" t="s">
        <v>58</v>
      </c>
      <c r="B4" s="4">
        <v>13</v>
      </c>
      <c r="D4" s="3" t="s">
        <v>43</v>
      </c>
      <c r="E4" s="4">
        <v>62.662000000000027</v>
      </c>
      <c r="G4" s="3" t="s">
        <v>41</v>
      </c>
      <c r="H4" s="4">
        <v>6</v>
      </c>
      <c r="I4" s="4">
        <v>6</v>
      </c>
      <c r="J4" s="4">
        <v>7</v>
      </c>
      <c r="K4" s="4">
        <v>13</v>
      </c>
      <c r="L4" s="4">
        <v>3</v>
      </c>
      <c r="M4" s="4">
        <v>13</v>
      </c>
      <c r="N4" s="4">
        <v>48</v>
      </c>
    </row>
    <row r="5" spans="1:14">
      <c r="A5" s="3" t="s">
        <v>98</v>
      </c>
      <c r="B5" s="4">
        <v>10</v>
      </c>
      <c r="D5" s="3" t="s">
        <v>30</v>
      </c>
      <c r="E5" s="4">
        <v>62.744583333333331</v>
      </c>
      <c r="G5" s="3" t="s">
        <v>43</v>
      </c>
      <c r="H5" s="4">
        <v>6</v>
      </c>
      <c r="I5" s="4">
        <v>5</v>
      </c>
      <c r="J5" s="4">
        <v>4</v>
      </c>
      <c r="K5" s="4">
        <v>10</v>
      </c>
      <c r="L5" s="4">
        <v>7</v>
      </c>
      <c r="M5" s="4">
        <v>13</v>
      </c>
      <c r="N5" s="4">
        <v>45</v>
      </c>
    </row>
    <row r="6" spans="1:14">
      <c r="A6" s="3" t="s">
        <v>49</v>
      </c>
      <c r="B6" s="4">
        <v>10</v>
      </c>
      <c r="D6" s="3" t="s">
        <v>33</v>
      </c>
      <c r="E6" s="4">
        <v>71.976440677966096</v>
      </c>
      <c r="G6" s="3" t="s">
        <v>30</v>
      </c>
      <c r="H6" s="4">
        <v>11</v>
      </c>
      <c r="I6" s="4">
        <v>4</v>
      </c>
      <c r="J6" s="4">
        <v>11</v>
      </c>
      <c r="K6" s="4">
        <v>8</v>
      </c>
      <c r="L6" s="4">
        <v>14</v>
      </c>
      <c r="M6" s="4">
        <v>6</v>
      </c>
      <c r="N6" s="4">
        <v>54</v>
      </c>
    </row>
    <row r="7" spans="1:14">
      <c r="A7" s="3" t="s">
        <v>75</v>
      </c>
      <c r="B7" s="4">
        <v>10</v>
      </c>
      <c r="D7" s="3" t="s">
        <v>37</v>
      </c>
      <c r="E7" s="4">
        <v>67.111333333333334</v>
      </c>
      <c r="G7" s="3" t="s">
        <v>33</v>
      </c>
      <c r="H7" s="4">
        <v>5</v>
      </c>
      <c r="I7" s="4">
        <v>10</v>
      </c>
      <c r="J7" s="4">
        <v>11</v>
      </c>
      <c r="K7" s="4">
        <v>11</v>
      </c>
      <c r="L7" s="4">
        <v>10</v>
      </c>
      <c r="M7" s="4">
        <v>6</v>
      </c>
      <c r="N7" s="4">
        <v>53</v>
      </c>
    </row>
    <row r="8" spans="1:14">
      <c r="A8" s="3" t="s">
        <v>29</v>
      </c>
      <c r="B8" s="4">
        <v>10</v>
      </c>
      <c r="D8" s="3" t="s">
        <v>107</v>
      </c>
      <c r="E8" s="4">
        <v>66.836699164345347</v>
      </c>
      <c r="G8" s="3" t="s">
        <v>37</v>
      </c>
      <c r="H8" s="4">
        <v>7</v>
      </c>
      <c r="I8" s="4">
        <v>9</v>
      </c>
      <c r="J8" s="4">
        <v>6</v>
      </c>
      <c r="K8" s="4">
        <v>8</v>
      </c>
      <c r="L8" s="4">
        <v>13</v>
      </c>
      <c r="M8" s="4">
        <v>14</v>
      </c>
      <c r="N8" s="4">
        <v>57</v>
      </c>
    </row>
    <row r="9" spans="1:14">
      <c r="A9" s="3" t="s">
        <v>66</v>
      </c>
      <c r="B9" s="4">
        <v>10</v>
      </c>
      <c r="G9" s="3" t="s">
        <v>107</v>
      </c>
      <c r="H9" s="4">
        <v>45</v>
      </c>
      <c r="I9" s="4">
        <v>45</v>
      </c>
      <c r="J9" s="4">
        <v>44</v>
      </c>
      <c r="K9" s="4">
        <v>57</v>
      </c>
      <c r="L9" s="4">
        <v>54</v>
      </c>
      <c r="M9" s="4">
        <v>66</v>
      </c>
      <c r="N9" s="4">
        <v>311</v>
      </c>
    </row>
    <row r="10" spans="1:14">
      <c r="A10" s="3" t="s">
        <v>71</v>
      </c>
      <c r="B10" s="4">
        <v>9</v>
      </c>
    </row>
    <row r="11" spans="1:14">
      <c r="A11" s="3" t="s">
        <v>62</v>
      </c>
      <c r="B11" s="4">
        <v>9</v>
      </c>
    </row>
    <row r="12" spans="1:14">
      <c r="A12" s="3" t="s">
        <v>107</v>
      </c>
      <c r="B12" s="4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D47B-F57F-43EB-87EE-9D4CBC65C2D0}">
  <dimension ref="A1"/>
  <sheetViews>
    <sheetView tabSelected="1" topLeftCell="B1" zoomScale="122" workbookViewId="0">
      <selection activeCell="T13" sqref="T13"/>
    </sheetView>
  </sheetViews>
  <sheetFormatPr defaultRowHeight="14.4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355D-445B-4DF3-8989-6E18AD91085B}">
  <dimension ref="A1:A16"/>
  <sheetViews>
    <sheetView zoomScale="80" workbookViewId="0">
      <selection activeCell="D16" sqref="D16"/>
    </sheetView>
  </sheetViews>
  <sheetFormatPr defaultColWidth="10.77734375" defaultRowHeight="19.95" customHeight="1"/>
  <cols>
    <col min="1" max="1" width="131.6640625" style="9" customWidth="1"/>
    <col min="2" max="16384" width="10.77734375" style="9"/>
  </cols>
  <sheetData>
    <row r="1" spans="1:1" ht="19.95" customHeight="1">
      <c r="A1" s="17" t="s">
        <v>117</v>
      </c>
    </row>
    <row r="2" spans="1:1" ht="19.95" customHeight="1" thickBot="1">
      <c r="A2" s="15"/>
    </row>
    <row r="3" spans="1:1" ht="19.95" customHeight="1" thickBot="1">
      <c r="A3" s="14" t="s">
        <v>118</v>
      </c>
    </row>
    <row r="4" spans="1:1" ht="19.95" customHeight="1">
      <c r="A4" s="16" t="s">
        <v>119</v>
      </c>
    </row>
    <row r="5" spans="1:1" ht="19.95" customHeight="1">
      <c r="A5" s="10" t="s">
        <v>120</v>
      </c>
    </row>
    <row r="6" spans="1:1" ht="19.95" customHeight="1">
      <c r="A6" s="10" t="s">
        <v>121</v>
      </c>
    </row>
    <row r="7" spans="1:1" ht="19.95" customHeight="1">
      <c r="A7" s="10" t="s">
        <v>122</v>
      </c>
    </row>
    <row r="8" spans="1:1" ht="19.95" customHeight="1">
      <c r="A8" s="10" t="s">
        <v>123</v>
      </c>
    </row>
    <row r="9" spans="1:1" ht="19.95" customHeight="1">
      <c r="A9" s="10" t="s">
        <v>124</v>
      </c>
    </row>
    <row r="10" spans="1:1" ht="19.95" customHeight="1" thickBot="1">
      <c r="A10" s="12"/>
    </row>
    <row r="11" spans="1:1" ht="19.95" customHeight="1" thickBot="1">
      <c r="A11" s="14" t="s">
        <v>125</v>
      </c>
    </row>
    <row r="12" spans="1:1" ht="19.95" customHeight="1">
      <c r="A12" s="13" t="s">
        <v>126</v>
      </c>
    </row>
    <row r="13" spans="1:1" ht="19.95" customHeight="1">
      <c r="A13" s="11" t="s">
        <v>127</v>
      </c>
    </row>
    <row r="14" spans="1:1" ht="19.95" customHeight="1">
      <c r="A14" s="11" t="s">
        <v>128</v>
      </c>
    </row>
    <row r="15" spans="1:1" ht="19.95" customHeight="1">
      <c r="A15" s="11" t="s">
        <v>129</v>
      </c>
    </row>
    <row r="16" spans="1:1" ht="19.95" customHeight="1">
      <c r="A16" s="11" t="s">
        <v>130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Cleaned_Dataset</vt:lpstr>
      <vt:lpstr>Analysis</vt:lpstr>
      <vt:lpstr>Pivot _Tables</vt:lpstr>
      <vt:lpstr>Charts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Devi</dc:creator>
  <cp:lastModifiedBy>Manasa Devi</cp:lastModifiedBy>
  <dcterms:created xsi:type="dcterms:W3CDTF">2026-10-13T06:16:23Z</dcterms:created>
  <dcterms:modified xsi:type="dcterms:W3CDTF">2026-10-13T09:56:54Z</dcterms:modified>
</cp:coreProperties>
</file>